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jonat\Downloads\"/>
    </mc:Choice>
  </mc:AlternateContent>
  <xr:revisionPtr revIDLastSave="0" documentId="8_{355CFF2B-A3B5-4A40-BBD1-C11B9DFC022A}" xr6:coauthVersionLast="47" xr6:coauthVersionMax="47" xr10:uidLastSave="{00000000-0000-0000-0000-000000000000}"/>
  <bookViews>
    <workbookView xWindow="-108" yWindow="-108" windowWidth="23256" windowHeight="12456" firstSheet="2" activeTab="5" xr2:uid="{00000000-000D-0000-FFFF-FFFF00000000}"/>
  </bookViews>
  <sheets>
    <sheet name="FR1_Data" sheetId="1" r:id="rId1"/>
    <sheet name="FR1" sheetId="2" r:id="rId2"/>
    <sheet name="FR2_Data" sheetId="3" r:id="rId3"/>
    <sheet name="FR2" sheetId="4" r:id="rId4"/>
    <sheet name="FR3_Data" sheetId="7" r:id="rId5"/>
    <sheet name="FR3" sheetId="8" r:id="rId6"/>
  </sheets>
  <externalReferences>
    <externalReference r:id="rId7"/>
  </externalReferences>
  <definedNames>
    <definedName name="_xlchart.v1.0" hidden="1">FR3_Data!$D$1</definedName>
    <definedName name="_xlchart.v1.1" hidden="1">FR3_Data!$D$2:$D$765</definedName>
    <definedName name="_xlchart.v1.2" hidden="1">[1]FR3_Data!$D$1</definedName>
    <definedName name="_xlchart.v1.3" hidden="1">[1]FR3_Data!$D$2:$D$765</definedName>
    <definedName name="_xlnm.Print_Area" localSheetId="1">'FR1'!$B$1:$J$50</definedName>
    <definedName name="_xlnm.Print_Area" localSheetId="3">'FR2'!$D$1:$L$44</definedName>
    <definedName name="_xlnm.Print_Area" localSheetId="5">'FR3'!$A$3:$G$52</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7" l="1"/>
  <c r="M3" i="7" s="1"/>
  <c r="J2" i="7"/>
  <c r="H3" i="7"/>
  <c r="J3" i="7"/>
  <c r="O3" i="7"/>
  <c r="H4" i="7"/>
  <c r="J4" i="7"/>
  <c r="O4" i="7"/>
  <c r="H5" i="7"/>
  <c r="J5" i="7"/>
  <c r="O5" i="7"/>
  <c r="H6" i="7"/>
  <c r="J6" i="7"/>
  <c r="O6" i="7"/>
  <c r="H7" i="7"/>
  <c r="J7" i="7"/>
  <c r="O7" i="7"/>
  <c r="H8" i="7"/>
  <c r="J8" i="7"/>
  <c r="O8" i="7"/>
  <c r="H9" i="7"/>
  <c r="J9" i="7"/>
  <c r="H10" i="7"/>
  <c r="J10" i="7"/>
  <c r="H11" i="7"/>
  <c r="J11" i="7"/>
  <c r="H12" i="7"/>
  <c r="J12" i="7"/>
  <c r="H13" i="7"/>
  <c r="J13" i="7"/>
  <c r="H14" i="7"/>
  <c r="J14" i="7"/>
  <c r="H15" i="7"/>
  <c r="J15" i="7"/>
  <c r="H16" i="7"/>
  <c r="J16" i="7"/>
  <c r="H17" i="7"/>
  <c r="J17" i="7"/>
  <c r="H18" i="7"/>
  <c r="J18" i="7"/>
  <c r="H19" i="7"/>
  <c r="J19" i="7"/>
  <c r="H20" i="7"/>
  <c r="J20" i="7"/>
  <c r="H21" i="7"/>
  <c r="J21" i="7"/>
  <c r="H22" i="7"/>
  <c r="J22" i="7"/>
  <c r="H23" i="7"/>
  <c r="J23" i="7"/>
  <c r="H24" i="7"/>
  <c r="J24" i="7"/>
  <c r="H25" i="7"/>
  <c r="J25" i="7"/>
  <c r="H26" i="7"/>
  <c r="J26" i="7"/>
  <c r="H27" i="7"/>
  <c r="J27" i="7"/>
  <c r="H28" i="7"/>
  <c r="J28" i="7"/>
  <c r="H29" i="7"/>
  <c r="J29" i="7"/>
  <c r="H30" i="7"/>
  <c r="J30" i="7"/>
  <c r="H31" i="7"/>
  <c r="J31" i="7"/>
  <c r="H32" i="7"/>
  <c r="J32" i="7"/>
  <c r="H33" i="7"/>
  <c r="J33" i="7"/>
  <c r="H34" i="7"/>
  <c r="J34" i="7"/>
  <c r="H35" i="7"/>
  <c r="J35" i="7"/>
  <c r="H36" i="7"/>
  <c r="J36" i="7"/>
  <c r="H37" i="7"/>
  <c r="J37" i="7"/>
  <c r="H38" i="7"/>
  <c r="J38" i="7"/>
  <c r="H39" i="7"/>
  <c r="J39" i="7"/>
  <c r="H40" i="7"/>
  <c r="J40" i="7"/>
  <c r="H41" i="7"/>
  <c r="J41" i="7"/>
  <c r="H42" i="7"/>
  <c r="J42" i="7"/>
  <c r="H43" i="7"/>
  <c r="J43" i="7"/>
  <c r="H44" i="7"/>
  <c r="J44" i="7"/>
  <c r="H45" i="7"/>
  <c r="J45" i="7"/>
  <c r="H46" i="7"/>
  <c r="J46" i="7"/>
  <c r="H47" i="7"/>
  <c r="J47" i="7"/>
  <c r="H48" i="7"/>
  <c r="J48" i="7"/>
  <c r="H49" i="7"/>
  <c r="J49" i="7"/>
  <c r="H50" i="7"/>
  <c r="J50" i="7"/>
  <c r="H51" i="7"/>
  <c r="J51" i="7"/>
  <c r="H52" i="7"/>
  <c r="J52" i="7"/>
  <c r="H53" i="7"/>
  <c r="J53" i="7"/>
  <c r="H54" i="7"/>
  <c r="J54" i="7"/>
  <c r="H55" i="7"/>
  <c r="J55" i="7"/>
  <c r="H56" i="7"/>
  <c r="J56" i="7"/>
  <c r="H57" i="7"/>
  <c r="J57" i="7"/>
  <c r="H58" i="7"/>
  <c r="J58" i="7"/>
  <c r="H59" i="7"/>
  <c r="J59" i="7"/>
  <c r="H60" i="7"/>
  <c r="J60" i="7"/>
  <c r="H61" i="7"/>
  <c r="J61" i="7"/>
  <c r="H62" i="7"/>
  <c r="J62" i="7"/>
  <c r="H63" i="7"/>
  <c r="J63" i="7"/>
  <c r="H64" i="7"/>
  <c r="J64" i="7"/>
  <c r="H65" i="7"/>
  <c r="J65" i="7"/>
  <c r="H66" i="7"/>
  <c r="J66" i="7"/>
  <c r="H67" i="7"/>
  <c r="J67" i="7"/>
  <c r="H68" i="7"/>
  <c r="J68" i="7"/>
  <c r="H69" i="7"/>
  <c r="J69" i="7"/>
  <c r="H70" i="7"/>
  <c r="J70" i="7"/>
  <c r="H71" i="7"/>
  <c r="J71" i="7"/>
  <c r="H72" i="7"/>
  <c r="J72" i="7"/>
  <c r="H73" i="7"/>
  <c r="J73" i="7"/>
  <c r="H74" i="7"/>
  <c r="J74" i="7"/>
  <c r="H75" i="7"/>
  <c r="J75" i="7"/>
  <c r="H76" i="7"/>
  <c r="J76" i="7"/>
  <c r="H77" i="7"/>
  <c r="J77" i="7"/>
  <c r="H78" i="7"/>
  <c r="J78" i="7"/>
  <c r="H79" i="7"/>
  <c r="J79" i="7"/>
  <c r="H80" i="7"/>
  <c r="J80" i="7"/>
  <c r="H81" i="7"/>
  <c r="J81" i="7"/>
  <c r="H82" i="7"/>
  <c r="J82" i="7"/>
  <c r="H83" i="7"/>
  <c r="J83" i="7"/>
  <c r="H84" i="7"/>
  <c r="J84" i="7"/>
  <c r="H85" i="7"/>
  <c r="J85" i="7"/>
  <c r="H86" i="7"/>
  <c r="J86" i="7"/>
  <c r="H87" i="7"/>
  <c r="J87" i="7"/>
  <c r="H88" i="7"/>
  <c r="J88" i="7"/>
  <c r="H89" i="7"/>
  <c r="J89" i="7"/>
  <c r="H90" i="7"/>
  <c r="J90" i="7"/>
  <c r="H91" i="7"/>
  <c r="J91" i="7"/>
  <c r="H92" i="7"/>
  <c r="J92" i="7"/>
  <c r="H93" i="7"/>
  <c r="J93" i="7"/>
  <c r="H94" i="7"/>
  <c r="J94" i="7"/>
  <c r="H95" i="7"/>
  <c r="J95" i="7"/>
  <c r="H96" i="7"/>
  <c r="J96" i="7"/>
  <c r="H97" i="7"/>
  <c r="J97" i="7"/>
  <c r="H98" i="7"/>
  <c r="J98" i="7"/>
  <c r="H99" i="7"/>
  <c r="J99" i="7"/>
  <c r="H100" i="7"/>
  <c r="J100" i="7"/>
  <c r="H101" i="7"/>
  <c r="J101" i="7"/>
  <c r="H102" i="7"/>
  <c r="J102" i="7"/>
  <c r="H103" i="7"/>
  <c r="J103" i="7"/>
  <c r="H104" i="7"/>
  <c r="J104" i="7"/>
  <c r="H105" i="7"/>
  <c r="J105" i="7"/>
  <c r="H106" i="7"/>
  <c r="J106" i="7"/>
  <c r="H107" i="7"/>
  <c r="J107" i="7"/>
  <c r="H108" i="7"/>
  <c r="J108" i="7"/>
  <c r="H109" i="7"/>
  <c r="J109" i="7"/>
  <c r="H110" i="7"/>
  <c r="J110" i="7"/>
  <c r="H111" i="7"/>
  <c r="J111" i="7"/>
  <c r="H112" i="7"/>
  <c r="J112" i="7"/>
  <c r="H113" i="7"/>
  <c r="J113" i="7"/>
  <c r="H114" i="7"/>
  <c r="J114" i="7"/>
  <c r="H115" i="7"/>
  <c r="J115" i="7"/>
  <c r="H116" i="7"/>
  <c r="J116" i="7"/>
  <c r="H117" i="7"/>
  <c r="J117" i="7"/>
  <c r="H118" i="7"/>
  <c r="J118" i="7"/>
  <c r="H119" i="7"/>
  <c r="J119" i="7"/>
  <c r="H120" i="7"/>
  <c r="J120" i="7"/>
  <c r="H121" i="7"/>
  <c r="J121" i="7"/>
  <c r="H122" i="7"/>
  <c r="J122" i="7"/>
  <c r="H123" i="7"/>
  <c r="J123" i="7"/>
  <c r="H124" i="7"/>
  <c r="J124" i="7"/>
  <c r="H125" i="7"/>
  <c r="J125" i="7"/>
  <c r="H131" i="7"/>
  <c r="J131" i="7"/>
  <c r="H132" i="7"/>
  <c r="J132" i="7"/>
  <c r="H133" i="7"/>
  <c r="J133" i="7"/>
  <c r="H134" i="7"/>
  <c r="J134" i="7"/>
  <c r="H135" i="7"/>
  <c r="J135" i="7"/>
  <c r="H136" i="7"/>
  <c r="J136" i="7"/>
  <c r="H137" i="7"/>
  <c r="J137" i="7"/>
  <c r="H138" i="7"/>
  <c r="J138" i="7"/>
  <c r="H139" i="7"/>
  <c r="J139" i="7"/>
  <c r="H140" i="7"/>
  <c r="J140" i="7"/>
  <c r="H141" i="7"/>
  <c r="J141" i="7"/>
  <c r="H142" i="7"/>
  <c r="J142" i="7"/>
  <c r="H143" i="7"/>
  <c r="J143" i="7"/>
  <c r="H144" i="7"/>
  <c r="J144" i="7"/>
  <c r="H145" i="7"/>
  <c r="J145" i="7"/>
  <c r="H146" i="7"/>
  <c r="J146" i="7"/>
  <c r="H147" i="7"/>
  <c r="J147" i="7"/>
  <c r="H148" i="7"/>
  <c r="J148" i="7"/>
  <c r="H149" i="7"/>
  <c r="J149" i="7"/>
  <c r="H150" i="7"/>
  <c r="J150" i="7"/>
  <c r="H151" i="7"/>
  <c r="J151" i="7"/>
  <c r="H152" i="7"/>
  <c r="J152" i="7"/>
  <c r="H153" i="7"/>
  <c r="J153" i="7"/>
  <c r="H154" i="7"/>
  <c r="J154" i="7"/>
  <c r="H155" i="7"/>
  <c r="J155" i="7"/>
  <c r="H156" i="7"/>
  <c r="J156" i="7"/>
  <c r="H157" i="7"/>
  <c r="J157" i="7"/>
  <c r="H158" i="7"/>
  <c r="J158" i="7"/>
  <c r="H159" i="7"/>
  <c r="J159" i="7"/>
  <c r="H160" i="7"/>
  <c r="J160" i="7"/>
  <c r="H161" i="7"/>
  <c r="J161" i="7"/>
  <c r="H162" i="7"/>
  <c r="J162" i="7"/>
  <c r="H163" i="7"/>
  <c r="J163" i="7"/>
  <c r="H164" i="7"/>
  <c r="J164" i="7"/>
  <c r="H165" i="7"/>
  <c r="J165" i="7"/>
  <c r="H166" i="7"/>
  <c r="J166" i="7"/>
  <c r="H167" i="7"/>
  <c r="J167" i="7"/>
  <c r="H168" i="7"/>
  <c r="J168" i="7"/>
  <c r="H169" i="7"/>
  <c r="J169" i="7"/>
  <c r="H170" i="7"/>
  <c r="J170" i="7"/>
  <c r="H171" i="7"/>
  <c r="J171" i="7"/>
  <c r="H172" i="7"/>
  <c r="J172" i="7"/>
  <c r="H173" i="7"/>
  <c r="J173" i="7"/>
  <c r="H174" i="7"/>
  <c r="J174" i="7"/>
  <c r="H175" i="7"/>
  <c r="J175" i="7"/>
  <c r="H176" i="7"/>
  <c r="J176" i="7"/>
  <c r="H177" i="7"/>
  <c r="J177" i="7"/>
  <c r="H178" i="7"/>
  <c r="J178" i="7"/>
  <c r="H179" i="7"/>
  <c r="J179" i="7"/>
  <c r="H180" i="7"/>
  <c r="J180" i="7"/>
  <c r="H181" i="7"/>
  <c r="J181" i="7"/>
  <c r="H182" i="7"/>
  <c r="J182" i="7"/>
  <c r="H183" i="7"/>
  <c r="J183" i="7"/>
  <c r="H184" i="7"/>
  <c r="J184" i="7"/>
  <c r="H185" i="7"/>
  <c r="J185" i="7"/>
  <c r="H186" i="7"/>
  <c r="J186" i="7"/>
  <c r="H187" i="7"/>
  <c r="J187" i="7"/>
  <c r="H188" i="7"/>
  <c r="J188" i="7"/>
  <c r="H189" i="7"/>
  <c r="J189" i="7"/>
  <c r="H190" i="7"/>
  <c r="J190" i="7"/>
  <c r="H191" i="7"/>
  <c r="J191" i="7"/>
  <c r="H192" i="7"/>
  <c r="J192" i="7"/>
  <c r="H193" i="7"/>
  <c r="J193" i="7"/>
  <c r="H194" i="7"/>
  <c r="J194" i="7"/>
  <c r="H195" i="7"/>
  <c r="J195" i="7"/>
  <c r="H196" i="7"/>
  <c r="J196" i="7"/>
  <c r="H197" i="7"/>
  <c r="J197" i="7"/>
  <c r="H198" i="7"/>
  <c r="J198" i="7"/>
  <c r="H199" i="7"/>
  <c r="J199" i="7"/>
  <c r="H200" i="7"/>
  <c r="J200" i="7"/>
  <c r="H201" i="7"/>
  <c r="J201" i="7"/>
  <c r="H202" i="7"/>
  <c r="J202" i="7"/>
  <c r="H203" i="7"/>
  <c r="J203" i="7"/>
  <c r="H204" i="7"/>
  <c r="J204" i="7"/>
  <c r="H205" i="7"/>
  <c r="J205" i="7"/>
  <c r="H206" i="7"/>
  <c r="J206" i="7"/>
  <c r="H207" i="7"/>
  <c r="J207" i="7"/>
  <c r="H208" i="7"/>
  <c r="J208" i="7"/>
  <c r="H209" i="7"/>
  <c r="J209" i="7"/>
  <c r="H210" i="7"/>
  <c r="J210" i="7"/>
  <c r="H211" i="7"/>
  <c r="J211" i="7"/>
  <c r="H212" i="7"/>
  <c r="J212" i="7"/>
  <c r="H213" i="7"/>
  <c r="J213" i="7"/>
  <c r="H214" i="7"/>
  <c r="J214" i="7"/>
  <c r="H215" i="7"/>
  <c r="J215" i="7"/>
  <c r="H216" i="7"/>
  <c r="J216" i="7"/>
  <c r="H217" i="7"/>
  <c r="J217" i="7"/>
  <c r="H218" i="7"/>
  <c r="J218" i="7"/>
  <c r="H219" i="7"/>
  <c r="J219" i="7"/>
  <c r="H220" i="7"/>
  <c r="J220" i="7"/>
  <c r="H221" i="7"/>
  <c r="J221" i="7"/>
  <c r="H222" i="7"/>
  <c r="J222" i="7"/>
  <c r="H223" i="7"/>
  <c r="J223" i="7"/>
  <c r="H224" i="7"/>
  <c r="J224" i="7"/>
  <c r="H225" i="7"/>
  <c r="J225" i="7"/>
  <c r="H226" i="7"/>
  <c r="J226" i="7"/>
  <c r="H227" i="7"/>
  <c r="J227" i="7"/>
  <c r="H228" i="7"/>
  <c r="J228" i="7"/>
  <c r="H229" i="7"/>
  <c r="J229" i="7"/>
  <c r="H230" i="7"/>
  <c r="J230" i="7"/>
  <c r="H231" i="7"/>
  <c r="J231" i="7"/>
  <c r="H232" i="7"/>
  <c r="J232" i="7"/>
  <c r="H233" i="7"/>
  <c r="J233" i="7"/>
  <c r="H234" i="7"/>
  <c r="J234" i="7"/>
  <c r="H235" i="7"/>
  <c r="J235" i="7"/>
  <c r="H236" i="7"/>
  <c r="J236" i="7"/>
  <c r="H237" i="7"/>
  <c r="J237" i="7"/>
  <c r="H238" i="7"/>
  <c r="J238" i="7"/>
  <c r="H239" i="7"/>
  <c r="J239" i="7"/>
  <c r="H240" i="7"/>
  <c r="J240" i="7"/>
  <c r="H241" i="7"/>
  <c r="J241" i="7"/>
  <c r="H242" i="7"/>
  <c r="J242" i="7"/>
  <c r="H243" i="7"/>
  <c r="J243" i="7"/>
  <c r="H244" i="7"/>
  <c r="J244" i="7"/>
  <c r="H245" i="7"/>
  <c r="J245" i="7"/>
  <c r="H246" i="7"/>
  <c r="J246" i="7"/>
  <c r="H247" i="7"/>
  <c r="J247" i="7"/>
  <c r="H248" i="7"/>
  <c r="J248" i="7"/>
  <c r="H249" i="7"/>
  <c r="J249" i="7"/>
  <c r="H250" i="7"/>
  <c r="J250" i="7"/>
  <c r="H251" i="7"/>
  <c r="J251" i="7"/>
  <c r="H252" i="7"/>
  <c r="J252" i="7"/>
  <c r="H253" i="7"/>
  <c r="J253" i="7"/>
  <c r="H254" i="7"/>
  <c r="J254" i="7"/>
  <c r="M4" i="3"/>
  <c r="M4" i="1"/>
  <c r="P14" i="3"/>
  <c r="P15" i="3"/>
  <c r="P16" i="3"/>
  <c r="P17" i="3"/>
  <c r="P18" i="3"/>
  <c r="P19" i="3"/>
  <c r="P13" i="3"/>
  <c r="O14" i="3"/>
  <c r="O15" i="3"/>
  <c r="O16" i="3"/>
  <c r="O17" i="3"/>
  <c r="O18" i="3"/>
  <c r="O19" i="3"/>
  <c r="O13" i="3"/>
  <c r="J6" i="3"/>
  <c r="K6" i="3"/>
  <c r="L37" i="3"/>
  <c r="L36" i="3"/>
  <c r="L35" i="3"/>
  <c r="L34" i="3"/>
  <c r="L33" i="3"/>
  <c r="L32" i="3"/>
  <c r="L31" i="3"/>
  <c r="K37" i="3"/>
  <c r="K36" i="3"/>
  <c r="K35" i="3"/>
  <c r="K34" i="3"/>
  <c r="K33" i="3"/>
  <c r="K32" i="3"/>
  <c r="K31" i="3"/>
  <c r="L28" i="3"/>
  <c r="L27" i="3"/>
  <c r="L26" i="3"/>
  <c r="L25" i="3"/>
  <c r="L24" i="3"/>
  <c r="L23" i="3"/>
  <c r="L22" i="3"/>
  <c r="K28" i="3"/>
  <c r="K27" i="3"/>
  <c r="K26" i="3"/>
  <c r="K25" i="3"/>
  <c r="K24" i="3"/>
  <c r="K23" i="3"/>
  <c r="K22" i="3"/>
  <c r="L19" i="3"/>
  <c r="L18" i="3"/>
  <c r="L17" i="3"/>
  <c r="L16" i="3"/>
  <c r="L15" i="3"/>
  <c r="L14" i="3"/>
  <c r="L13" i="3"/>
  <c r="K19" i="3"/>
  <c r="K18" i="3"/>
  <c r="K17" i="3"/>
  <c r="K16" i="3"/>
  <c r="K15" i="3"/>
  <c r="K14" i="3"/>
  <c r="K13" i="3"/>
  <c r="H37" i="3"/>
  <c r="H36" i="3"/>
  <c r="H35" i="3"/>
  <c r="H34" i="3"/>
  <c r="H33" i="3"/>
  <c r="H32" i="3"/>
  <c r="H31" i="3"/>
  <c r="H28" i="3"/>
  <c r="H27" i="3"/>
  <c r="H26" i="3"/>
  <c r="H25" i="3"/>
  <c r="H24" i="3"/>
  <c r="H23" i="3"/>
  <c r="H22" i="3"/>
  <c r="H19" i="3"/>
  <c r="H18" i="3"/>
  <c r="H17" i="3"/>
  <c r="H16" i="3"/>
  <c r="H15" i="3"/>
  <c r="H14" i="3"/>
  <c r="H13" i="3"/>
  <c r="H9" i="3"/>
  <c r="H8" i="3"/>
  <c r="H7" i="3"/>
  <c r="H6" i="3"/>
  <c r="H5" i="3"/>
  <c r="H4" i="3"/>
  <c r="H3" i="3"/>
  <c r="H10" i="3" s="1"/>
  <c r="X2" i="1"/>
  <c r="T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W2" i="1" s="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AD2" i="1" s="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2" i="1"/>
  <c r="Q2" i="1" s="1"/>
  <c r="M5" i="7" l="1"/>
  <c r="M6" i="7" s="1"/>
  <c r="M4" i="7"/>
  <c r="M7" i="7"/>
  <c r="M8" i="7" s="1"/>
  <c r="AF2" i="1"/>
  <c r="T4" i="1"/>
  <c r="R4" i="1"/>
  <c r="L2" i="1"/>
  <c r="S4" i="1"/>
  <c r="AC2" i="1"/>
  <c r="M2" i="1"/>
  <c r="K2" i="1"/>
  <c r="Y2" i="1"/>
  <c r="N2" i="1"/>
  <c r="AE2" i="1"/>
  <c r="Q4" i="1"/>
  <c r="R2" i="1"/>
  <c r="Z2" i="1"/>
  <c r="S2" i="1"/>
</calcChain>
</file>

<file path=xl/sharedStrings.xml><?xml version="1.0" encoding="utf-8"?>
<sst xmlns="http://schemas.openxmlformats.org/spreadsheetml/2006/main" count="3796" uniqueCount="193">
  <si>
    <t>RefCmd</t>
  </si>
  <si>
    <t>RefProduit</t>
  </si>
  <si>
    <t>RefTaille</t>
  </si>
  <si>
    <t>Quantite</t>
  </si>
  <si>
    <t>Annee</t>
  </si>
  <si>
    <t>Prix</t>
  </si>
  <si>
    <t>G</t>
  </si>
  <si>
    <t>M</t>
  </si>
  <si>
    <t>S</t>
  </si>
  <si>
    <t>XL</t>
  </si>
  <si>
    <t>Prix total(Quantité * Prix)</t>
  </si>
  <si>
    <t>Total</t>
  </si>
  <si>
    <t>Date_complete</t>
  </si>
  <si>
    <t>JOUR</t>
  </si>
  <si>
    <t>MOIS</t>
  </si>
  <si>
    <t>Juillet</t>
  </si>
  <si>
    <t>Aout</t>
  </si>
  <si>
    <t>CodeClient</t>
  </si>
  <si>
    <t>NomClient</t>
  </si>
  <si>
    <t>TOTAL_Commande</t>
  </si>
  <si>
    <t>TOTAL_Clients</t>
  </si>
  <si>
    <t>DURAND</t>
  </si>
  <si>
    <t>MANIN</t>
  </si>
  <si>
    <t>DUPOND</t>
  </si>
  <si>
    <t>HELLOUIN</t>
  </si>
  <si>
    <t>DIARRA</t>
  </si>
  <si>
    <t>VERT</t>
  </si>
  <si>
    <t>DYNATORI</t>
  </si>
  <si>
    <t>RICHARD</t>
  </si>
  <si>
    <t>GRANDET</t>
  </si>
  <si>
    <t>TERMER</t>
  </si>
  <si>
    <t>BAHL</t>
  </si>
  <si>
    <t>BEHRTY</t>
  </si>
  <si>
    <t>BERMENDOR</t>
  </si>
  <si>
    <t>BOLSHAKOVA</t>
  </si>
  <si>
    <t>CARTIER</t>
  </si>
  <si>
    <t>CHAMBON</t>
  </si>
  <si>
    <t>DORELTZER</t>
  </si>
  <si>
    <t>EL KOUCHI</t>
  </si>
  <si>
    <t>FORLANISSANT</t>
  </si>
  <si>
    <t>GHIRBELON</t>
  </si>
  <si>
    <t>HOUS</t>
  </si>
  <si>
    <t>ATTOCHE</t>
  </si>
  <si>
    <t>KHEMIS</t>
  </si>
  <si>
    <t>BLAISNE</t>
  </si>
  <si>
    <t>LERONG</t>
  </si>
  <si>
    <t>LINU</t>
  </si>
  <si>
    <t>MAVEL</t>
  </si>
  <si>
    <t>MENARDIN</t>
  </si>
  <si>
    <t>NGUYEN</t>
  </si>
  <si>
    <t>OUADICH</t>
  </si>
  <si>
    <t>PHAM</t>
  </si>
  <si>
    <t>PRALIER</t>
  </si>
  <si>
    <t>BARTHELEMO</t>
  </si>
  <si>
    <t>MURGATTI</t>
  </si>
  <si>
    <t>PALMAR</t>
  </si>
  <si>
    <t>GANRE</t>
  </si>
  <si>
    <t>GARMESSON</t>
  </si>
  <si>
    <t>PIZZA-COMBE</t>
  </si>
  <si>
    <t>ROMAGNAL</t>
  </si>
  <si>
    <t>BRODERIE</t>
  </si>
  <si>
    <t>TISSURIER</t>
  </si>
  <si>
    <t>LAURENTONI</t>
  </si>
  <si>
    <t>TREDIS</t>
  </si>
  <si>
    <t>GOUFARDE</t>
  </si>
  <si>
    <t>DHAOU</t>
  </si>
  <si>
    <t>BOISSIEU</t>
  </si>
  <si>
    <t>DELVE</t>
  </si>
  <si>
    <t>LAGOUAR</t>
  </si>
  <si>
    <t>AMINI</t>
  </si>
  <si>
    <t>MAC AVLEY</t>
  </si>
  <si>
    <t>ETIEVEN</t>
  </si>
  <si>
    <t>ANSINITO</t>
  </si>
  <si>
    <t>FOFANA</t>
  </si>
  <si>
    <t>NDIA</t>
  </si>
  <si>
    <t>COLPOMER</t>
  </si>
  <si>
    <t>MIGUILO</t>
  </si>
  <si>
    <t>DIAL</t>
  </si>
  <si>
    <t>ABDISSACK</t>
  </si>
  <si>
    <t>PROPRIOL</t>
  </si>
  <si>
    <t>MAGNINI</t>
  </si>
  <si>
    <t>HUANG</t>
  </si>
  <si>
    <t>GOUNTU</t>
  </si>
  <si>
    <t>AITLARBI</t>
  </si>
  <si>
    <t>ARNAURY</t>
  </si>
  <si>
    <t>BONAGAS</t>
  </si>
  <si>
    <t>FLEPY</t>
  </si>
  <si>
    <t>KAROLZ</t>
  </si>
  <si>
    <t>MARTIN</t>
  </si>
  <si>
    <t>ONASSIS</t>
  </si>
  <si>
    <t>SIBELLAS</t>
  </si>
  <si>
    <t>SONIRET</t>
  </si>
  <si>
    <t>AMMAR</t>
  </si>
  <si>
    <t>ATIEH</t>
  </si>
  <si>
    <t>AYADITO</t>
  </si>
  <si>
    <t>COPATRA</t>
  </si>
  <si>
    <t>GABRIET</t>
  </si>
  <si>
    <t>GREFFA</t>
  </si>
  <si>
    <t>HAMRA</t>
  </si>
  <si>
    <t>KAISER</t>
  </si>
  <si>
    <t>KELLER</t>
  </si>
  <si>
    <t>KONATO</t>
  </si>
  <si>
    <t>CHEMIA</t>
  </si>
  <si>
    <t>LENGI</t>
  </si>
  <si>
    <t>LI</t>
  </si>
  <si>
    <t>MEERS</t>
  </si>
  <si>
    <t>MIRILO</t>
  </si>
  <si>
    <t>DESSELAM</t>
  </si>
  <si>
    <t>PACET</t>
  </si>
  <si>
    <t>CERTESSEL</t>
  </si>
  <si>
    <t>MARTINI</t>
  </si>
  <si>
    <t>PLOUET</t>
  </si>
  <si>
    <t>URTADO</t>
  </si>
  <si>
    <t>KILMAN</t>
  </si>
  <si>
    <t>MANUOL</t>
  </si>
  <si>
    <t>GRANFIL</t>
  </si>
  <si>
    <t>DUTRONC</t>
  </si>
  <si>
    <t>CASERO</t>
  </si>
  <si>
    <t>GIRET</t>
  </si>
  <si>
    <t>LOUARON</t>
  </si>
  <si>
    <t>INITA</t>
  </si>
  <si>
    <t>ALEYI</t>
  </si>
  <si>
    <t>LAGIN</t>
  </si>
  <si>
    <t>AMONT</t>
  </si>
  <si>
    <t>MAVULE</t>
  </si>
  <si>
    <t>TINING</t>
  </si>
  <si>
    <t>OUETAN</t>
  </si>
  <si>
    <t>TADOR</t>
  </si>
  <si>
    <t>MANUTRET</t>
  </si>
  <si>
    <t>KRESWOL</t>
  </si>
  <si>
    <t>GRANDPOIS</t>
  </si>
  <si>
    <t>DONCHY</t>
  </si>
  <si>
    <t>Autotal</t>
  </si>
  <si>
    <t>Août</t>
  </si>
  <si>
    <t>Lundi</t>
  </si>
  <si>
    <t>Mardi</t>
  </si>
  <si>
    <t>Mercredi</t>
  </si>
  <si>
    <t>Jeudi</t>
  </si>
  <si>
    <t>Vendredi</t>
  </si>
  <si>
    <t>Samedi</t>
  </si>
  <si>
    <t>Dimanche</t>
  </si>
  <si>
    <t>Montant  des ventes (2022-2024)</t>
  </si>
  <si>
    <t>Montant  par tailles</t>
  </si>
  <si>
    <t>Total général</t>
  </si>
  <si>
    <t>Nombre de nombre de commandes3</t>
  </si>
  <si>
    <t>Nombre de nombre de commandes2</t>
  </si>
  <si>
    <t>Nombre de nombre de commandes</t>
  </si>
  <si>
    <t>Étiquettes de lignes</t>
  </si>
  <si>
    <t>16-21</t>
  </si>
  <si>
    <t>11-15</t>
  </si>
  <si>
    <t>6-10</t>
  </si>
  <si>
    <t>1-5</t>
  </si>
  <si>
    <t>nombre de commandes</t>
  </si>
  <si>
    <t>numéro clients</t>
  </si>
  <si>
    <t>clients</t>
  </si>
  <si>
    <t>fréquence cumulé du prix de la commande</t>
  </si>
  <si>
    <t>Fréquence du prix de la commande</t>
  </si>
  <si>
    <t>Nombre de TOTAL_Commande</t>
  </si>
  <si>
    <t>Prix de la commande</t>
  </si>
  <si>
    <t>68-70,5</t>
  </si>
  <si>
    <t>40,5-43</t>
  </si>
  <si>
    <t>38-40,5</t>
  </si>
  <si>
    <t>35,5-38</t>
  </si>
  <si>
    <t>33-35,5</t>
  </si>
  <si>
    <t>30,5-33</t>
  </si>
  <si>
    <t>28-30,5</t>
  </si>
  <si>
    <t>25,5-28</t>
  </si>
  <si>
    <t>23-25,5</t>
  </si>
  <si>
    <t>20,5-23</t>
  </si>
  <si>
    <t>18-20,5</t>
  </si>
  <si>
    <t>15,5-18</t>
  </si>
  <si>
    <t>13-15,5</t>
  </si>
  <si>
    <t>10,5-13</t>
  </si>
  <si>
    <t>8-10,5</t>
  </si>
  <si>
    <t>5,5-8</t>
  </si>
  <si>
    <t>3-5,5</t>
  </si>
  <si>
    <t xml:space="preserve">Clients associé : </t>
  </si>
  <si>
    <t>Plus petit prix :</t>
  </si>
  <si>
    <t>Plus gros prix :</t>
  </si>
  <si>
    <t>medianne des prix par commande  :</t>
  </si>
  <si>
    <t>medianne des prix par clients :</t>
  </si>
  <si>
    <t>moyenne des prix par commande :</t>
  </si>
  <si>
    <t>moyenne des prix par clients :</t>
  </si>
  <si>
    <t>Nom Clients</t>
  </si>
  <si>
    <t xml:space="preserve">clients </t>
  </si>
  <si>
    <t>prix</t>
  </si>
  <si>
    <t>Fréquence</t>
  </si>
  <si>
    <t>NB clients</t>
  </si>
  <si>
    <t>NB Commandes</t>
  </si>
  <si>
    <t>Medianne des prix :</t>
  </si>
  <si>
    <t>Moyenne des prix :</t>
  </si>
  <si>
    <t>Par Commande</t>
  </si>
  <si>
    <t>Par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</si>
</sst>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quot;€&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6A0A8"/>
        <bgColor indexed="64"/>
      </patternFill>
    </fill>
    <fill>
      <patternFill patternType="solid">
        <fgColor rgb="FFAC5355"/>
        <bgColor indexed="64"/>
      </patternFill>
    </fill>
    <fill>
      <patternFill patternType="solid">
        <fgColor rgb="FF922129"/>
        <bgColor indexed="64"/>
      </patternFill>
    </fill>
    <fill>
      <patternFill patternType="solid">
        <fgColor theme="2"/>
        <bgColor indexed="64"/>
      </patternFill>
    </fill>
    <fill>
      <patternFill patternType="solid">
        <fgColor theme="0" tint="-0.249977111117893"/>
        <bgColor indexed="64"/>
      </patternFill>
    </fill>
    <fill>
      <patternFill patternType="solid">
        <fgColor rgb="FFB8FFFD"/>
        <bgColor indexed="64"/>
      </patternFill>
    </fill>
    <fill>
      <patternFill patternType="solid">
        <fgColor theme="0"/>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164" fontId="0" fillId="0" borderId="0" xfId="0" applyNumberFormat="1"/>
    <xf numFmtId="14" fontId="0" fillId="0" borderId="0" xfId="0" applyNumberFormat="1"/>
    <xf numFmtId="0" fontId="0" fillId="36" borderId="10" xfId="0" applyFill="1" applyBorder="1" applyAlignment="1">
      <alignment horizontal="center"/>
    </xf>
    <xf numFmtId="0" fontId="0" fillId="37" borderId="10" xfId="0" applyFill="1" applyBorder="1" applyAlignment="1">
      <alignment horizontal="center"/>
    </xf>
    <xf numFmtId="0" fontId="0" fillId="39" borderId="0" xfId="0" applyFill="1"/>
    <xf numFmtId="164" fontId="0" fillId="38" borderId="10" xfId="0" applyNumberFormat="1" applyFill="1" applyBorder="1" applyAlignment="1">
      <alignment horizontal="center"/>
    </xf>
    <xf numFmtId="164" fontId="0" fillId="33" borderId="10" xfId="0" applyNumberFormat="1" applyFill="1" applyBorder="1" applyAlignment="1">
      <alignment horizontal="center"/>
    </xf>
    <xf numFmtId="164" fontId="0" fillId="34" borderId="10" xfId="0" applyNumberFormat="1" applyFill="1" applyBorder="1" applyAlignment="1">
      <alignment horizontal="center"/>
    </xf>
    <xf numFmtId="164" fontId="0" fillId="38" borderId="0" xfId="0" applyNumberFormat="1" applyFill="1"/>
    <xf numFmtId="164" fontId="0" fillId="33" borderId="0" xfId="0" applyNumberFormat="1" applyFill="1"/>
    <xf numFmtId="164" fontId="0" fillId="34" borderId="0" xfId="0" applyNumberFormat="1" applyFill="1"/>
    <xf numFmtId="164" fontId="17" fillId="35" borderId="0" xfId="0" applyNumberFormat="1" applyFont="1" applyFill="1"/>
    <xf numFmtId="0" fontId="0" fillId="36" borderId="11" xfId="0" applyFill="1" applyBorder="1"/>
    <xf numFmtId="164" fontId="0" fillId="39" borderId="0" xfId="0" applyNumberFormat="1" applyFill="1"/>
    <xf numFmtId="164" fontId="17" fillId="39" borderId="0" xfId="0" applyNumberFormat="1" applyFont="1" applyFill="1"/>
    <xf numFmtId="0" fontId="0" fillId="39" borderId="0" xfId="0" applyFill="1" applyAlignment="1">
      <alignment horizontal="center"/>
    </xf>
    <xf numFmtId="0" fontId="0" fillId="36" borderId="10" xfId="0" applyFill="1" applyBorder="1" applyAlignment="1">
      <alignment horizontal="center"/>
    </xf>
    <xf numFmtId="164" fontId="17" fillId="35" borderId="10" xfId="0" applyNumberFormat="1" applyFont="1" applyFill="1" applyBorder="1" applyAlignment="1">
      <alignment horizontal="center"/>
    </xf>
    <xf numFmtId="164" fontId="0" fillId="34" borderId="10" xfId="0" applyNumberFormat="1" applyFill="1" applyBorder="1" applyAlignment="1">
      <alignment horizontal="center"/>
    </xf>
    <xf numFmtId="164" fontId="0" fillId="33" borderId="10" xfId="0" applyNumberFormat="1" applyFill="1" applyBorder="1" applyAlignment="1">
      <alignment horizontal="center"/>
    </xf>
    <xf numFmtId="164" fontId="0" fillId="38" borderId="10" xfId="0" applyNumberFormat="1" applyFill="1" applyBorder="1" applyAlignment="1">
      <alignment horizontal="center"/>
    </xf>
    <xf numFmtId="10" fontId="0" fillId="0" borderId="0" xfId="0" applyNumberFormat="1"/>
    <xf numFmtId="0" fontId="0" fillId="0" borderId="0" xfId="0" applyAlignment="1">
      <alignment horizontal="left"/>
    </xf>
    <xf numFmtId="0" fontId="0" fillId="0" borderId="0" xfId="0" pivotButton="1"/>
    <xf numFmtId="164" fontId="0" fillId="0" borderId="0" xfId="42" applyNumberFormat="1" applyFont="1"/>
    <xf numFmtId="9" fontId="0" fillId="38" borderId="10" xfId="43" applyFont="1" applyFill="1" applyBorder="1" applyAlignment="1">
      <alignment horizontal="center"/>
    </xf>
    <xf numFmtId="0" fontId="0" fillId="38" borderId="10" xfId="0" applyFill="1" applyBorder="1" applyAlignment="1">
      <alignment horizontal="center"/>
    </xf>
    <xf numFmtId="9" fontId="0" fillId="33" borderId="10" xfId="43" applyFont="1" applyFill="1" applyBorder="1" applyAlignment="1">
      <alignment horizontal="center"/>
    </xf>
    <xf numFmtId="0" fontId="0" fillId="33" borderId="10" xfId="0" applyFill="1" applyBorder="1" applyAlignment="1">
      <alignment horizontal="center"/>
    </xf>
    <xf numFmtId="9" fontId="0" fillId="34" borderId="10" xfId="43" applyFont="1" applyFill="1" applyBorder="1" applyAlignment="1">
      <alignment horizontal="center"/>
    </xf>
    <xf numFmtId="0" fontId="0" fillId="34" borderId="10" xfId="0" applyFill="1" applyBorder="1" applyAlignment="1">
      <alignment horizontal="center"/>
    </xf>
    <xf numFmtId="0" fontId="0" fillId="40" borderId="10" xfId="0" applyFill="1" applyBorder="1"/>
    <xf numFmtId="164" fontId="0" fillId="33" borderId="10" xfId="42" applyNumberFormat="1" applyFont="1" applyFill="1" applyBorder="1" applyAlignment="1">
      <alignment horizontal="center" vertical="center"/>
    </xf>
    <xf numFmtId="0" fontId="0" fillId="40" borderId="10" xfId="0" applyFill="1" applyBorder="1" applyAlignment="1">
      <alignment horizontal="center"/>
    </xf>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Monétaire" xfId="42" builtinId="4"/>
    <cellStyle name="Neutre" xfId="8" builtinId="28" customBuiltin="1"/>
    <cellStyle name="Normal" xfId="0" builtinId="0"/>
    <cellStyle name="Note" xfId="15" builtinId="10" customBuiltin="1"/>
    <cellStyle name="Pourcentage" xfId="43" builtinId="5"/>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B8FFFD"/>
      <color rgb="FFF6A0A8"/>
      <color rgb="FFF6F6F1"/>
      <color rgb="FFAC5355"/>
      <color rgb="FF9221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a:t>Montant des ventes par année sur les 3</a:t>
            </a:r>
            <a:r>
              <a:rPr lang="fr-FR" sz="1200" baseline="0"/>
              <a:t> dernières années d'activité</a:t>
            </a:r>
            <a:endParaRPr lang="fr-FR" sz="1200"/>
          </a:p>
        </c:rich>
      </c:tx>
      <c:layout>
        <c:manualLayout>
          <c:xMode val="edge"/>
          <c:yMode val="edge"/>
          <c:x val="0.13740594089218772"/>
          <c:y val="4.6511627906976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9967606022931345"/>
          <c:y val="0.24425855513307984"/>
          <c:w val="0.77400815029700232"/>
          <c:h val="0.56104787281817914"/>
        </c:manualLayout>
      </c:layout>
      <c:barChart>
        <c:barDir val="col"/>
        <c:grouping val="clustered"/>
        <c:varyColors val="0"/>
        <c:ser>
          <c:idx val="0"/>
          <c:order val="0"/>
          <c:spPr>
            <a:solidFill>
              <a:srgbClr val="922129"/>
            </a:solidFill>
            <a:ln>
              <a:noFill/>
            </a:ln>
            <a:effectLst/>
          </c:spPr>
          <c:invertIfNegative val="0"/>
          <c:dPt>
            <c:idx val="0"/>
            <c:invertIfNegative val="0"/>
            <c:bubble3D val="0"/>
            <c:spPr>
              <a:solidFill>
                <a:srgbClr val="F6A0A8"/>
              </a:solidFill>
              <a:ln>
                <a:noFill/>
              </a:ln>
              <a:effectLst/>
            </c:spPr>
            <c:extLst>
              <c:ext xmlns:c16="http://schemas.microsoft.com/office/drawing/2014/chart" uri="{C3380CC4-5D6E-409C-BE32-E72D297353CC}">
                <c16:uniqueId val="{00000004-DEC6-46B8-9205-62A8BEA56958}"/>
              </c:ext>
            </c:extLst>
          </c:dPt>
          <c:dPt>
            <c:idx val="2"/>
            <c:invertIfNegative val="0"/>
            <c:bubble3D val="0"/>
            <c:spPr>
              <a:solidFill>
                <a:srgbClr val="AC5355"/>
              </a:solidFill>
              <a:ln>
                <a:noFill/>
              </a:ln>
              <a:effectLst/>
            </c:spPr>
            <c:extLst>
              <c:ext xmlns:c16="http://schemas.microsoft.com/office/drawing/2014/chart" uri="{C3380CC4-5D6E-409C-BE32-E72D297353CC}">
                <c16:uniqueId val="{00000003-DEC6-46B8-9205-62A8BEA569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FR1_Data!$K$1:$M$1</c:f>
              <c:numCache>
                <c:formatCode>General</c:formatCode>
                <c:ptCount val="3"/>
                <c:pt idx="0">
                  <c:v>2022</c:v>
                </c:pt>
                <c:pt idx="1">
                  <c:v>2023</c:v>
                </c:pt>
                <c:pt idx="2">
                  <c:v>2024</c:v>
                </c:pt>
              </c:numCache>
            </c:numRef>
          </c:cat>
          <c:val>
            <c:numRef>
              <c:f>FR1_Data!$K$2:$M$2</c:f>
              <c:numCache>
                <c:formatCode>#\ ##0.00\ "€"</c:formatCode>
                <c:ptCount val="3"/>
                <c:pt idx="0">
                  <c:v>2051.0000000000036</c:v>
                </c:pt>
                <c:pt idx="1">
                  <c:v>3351.699999999998</c:v>
                </c:pt>
                <c:pt idx="2">
                  <c:v>3063.6999999999975</c:v>
                </c:pt>
              </c:numCache>
            </c:numRef>
          </c:val>
          <c:extLst>
            <c:ext xmlns:c16="http://schemas.microsoft.com/office/drawing/2014/chart" uri="{C3380CC4-5D6E-409C-BE32-E72D297353CC}">
              <c16:uniqueId val="{00000000-DEC6-46B8-9205-62A8BEA56958}"/>
            </c:ext>
          </c:extLst>
        </c:ser>
        <c:dLbls>
          <c:dLblPos val="outEnd"/>
          <c:showLegendKey val="0"/>
          <c:showVal val="1"/>
          <c:showCatName val="0"/>
          <c:showSerName val="0"/>
          <c:showPercent val="0"/>
          <c:showBubbleSize val="0"/>
        </c:dLbls>
        <c:gapWidth val="219"/>
        <c:overlap val="-27"/>
        <c:axId val="1373301215"/>
        <c:axId val="1373313695"/>
      </c:barChart>
      <c:catAx>
        <c:axId val="1373301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Année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73313695"/>
        <c:crosses val="autoZero"/>
        <c:auto val="1"/>
        <c:lblAlgn val="ctr"/>
        <c:lblOffset val="100"/>
        <c:noMultiLvlLbl val="0"/>
      </c:catAx>
      <c:valAx>
        <c:axId val="1373313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Montant</a:t>
                </a:r>
                <a:r>
                  <a:rPr lang="fr-FR" baseline="0"/>
                  <a:t> des ventes (en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733012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Montant des ventes par</a:t>
            </a:r>
            <a:r>
              <a:rPr lang="fr-FR" baseline="0"/>
              <a:t> année en fonction des tailles sur les 3 dernières années d'activité</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v>2022</c:v>
          </c:tx>
          <c:spPr>
            <a:solidFill>
              <a:srgbClr val="F6A0A8"/>
            </a:solidFill>
            <a:ln>
              <a:noFill/>
            </a:ln>
            <a:effectLst/>
          </c:spPr>
          <c:invertIfNegative val="0"/>
          <c:dLbls>
            <c:dLbl>
              <c:idx val="2"/>
              <c:layout>
                <c:manualLayout>
                  <c:x val="-2.244668911335577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2A-4CD8-AB52-69EAAD7D5F7B}"/>
                </c:ext>
              </c:extLst>
            </c:dLbl>
            <c:dLbl>
              <c:idx val="3"/>
              <c:layout>
                <c:manualLayout>
                  <c:x val="-1.3468013468013551E-2"/>
                  <c:y val="6.45682001614204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2A-4CD8-AB52-69EAAD7D5F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(FR1_Data!$Q$1:$T$1,FR1_Data!$W$1:$Z$1,FR1_Data!$AC$1:$AF$1)</c:f>
              <c:strCache>
                <c:ptCount val="12"/>
                <c:pt idx="0">
                  <c:v>G</c:v>
                </c:pt>
                <c:pt idx="1">
                  <c:v>M</c:v>
                </c:pt>
                <c:pt idx="2">
                  <c:v>S</c:v>
                </c:pt>
                <c:pt idx="3">
                  <c:v>XL</c:v>
                </c:pt>
                <c:pt idx="4">
                  <c:v>G</c:v>
                </c:pt>
                <c:pt idx="5">
                  <c:v>M</c:v>
                </c:pt>
                <c:pt idx="6">
                  <c:v>S</c:v>
                </c:pt>
                <c:pt idx="7">
                  <c:v>XL</c:v>
                </c:pt>
                <c:pt idx="8">
                  <c:v>G</c:v>
                </c:pt>
                <c:pt idx="9">
                  <c:v>M</c:v>
                </c:pt>
                <c:pt idx="10">
                  <c:v>S</c:v>
                </c:pt>
                <c:pt idx="11">
                  <c:v>XL</c:v>
                </c:pt>
              </c:strCache>
            </c:strRef>
          </c:cat>
          <c:val>
            <c:numRef>
              <c:f>FR1_Data!$Q$2:$T$2</c:f>
              <c:numCache>
                <c:formatCode>#\ ##0.00\ "€"</c:formatCode>
                <c:ptCount val="4"/>
                <c:pt idx="0">
                  <c:v>1032.1999999999994</c:v>
                </c:pt>
                <c:pt idx="1">
                  <c:v>911.50000000000091</c:v>
                </c:pt>
                <c:pt idx="2">
                  <c:v>107.3</c:v>
                </c:pt>
                <c:pt idx="3">
                  <c:v>0</c:v>
                </c:pt>
              </c:numCache>
            </c:numRef>
          </c:val>
          <c:extLst>
            <c:ext xmlns:c16="http://schemas.microsoft.com/office/drawing/2014/chart" uri="{C3380CC4-5D6E-409C-BE32-E72D297353CC}">
              <c16:uniqueId val="{00000002-DE2A-4CD8-AB52-69EAAD7D5F7B}"/>
            </c:ext>
          </c:extLst>
        </c:ser>
        <c:ser>
          <c:idx val="1"/>
          <c:order val="1"/>
          <c:tx>
            <c:v>2023</c:v>
          </c:tx>
          <c:spPr>
            <a:solidFill>
              <a:srgbClr val="AC5355"/>
            </a:solidFill>
            <a:ln>
              <a:noFill/>
            </a:ln>
            <a:effectLst/>
          </c:spPr>
          <c:invertIfNegative val="0"/>
          <c:dLbls>
            <c:dLbl>
              <c:idx val="2"/>
              <c:layout>
                <c:manualLayout>
                  <c:x val="-1.7957351290684626E-2"/>
                  <c:y val="-1.61420500403552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2A-4CD8-AB52-69EAAD7D5F7B}"/>
                </c:ext>
              </c:extLst>
            </c:dLbl>
            <c:dLbl>
              <c:idx val="3"/>
              <c:layout>
                <c:manualLayout>
                  <c:x val="-1.346801346801338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2A-4CD8-AB52-69EAAD7D5F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FR1_Data!$W$2:$Z$2</c:f>
              <c:numCache>
                <c:formatCode>#\ ##0.00\ "€"</c:formatCode>
                <c:ptCount val="4"/>
                <c:pt idx="0">
                  <c:v>1668.2000000000021</c:v>
                </c:pt>
                <c:pt idx="1">
                  <c:v>1379.3999999999983</c:v>
                </c:pt>
                <c:pt idx="2">
                  <c:v>191.79999999999995</c:v>
                </c:pt>
                <c:pt idx="3">
                  <c:v>112.3</c:v>
                </c:pt>
              </c:numCache>
            </c:numRef>
          </c:val>
          <c:extLst>
            <c:ext xmlns:c16="http://schemas.microsoft.com/office/drawing/2014/chart" uri="{C3380CC4-5D6E-409C-BE32-E72D297353CC}">
              <c16:uniqueId val="{00000005-DE2A-4CD8-AB52-69EAAD7D5F7B}"/>
            </c:ext>
          </c:extLst>
        </c:ser>
        <c:ser>
          <c:idx val="2"/>
          <c:order val="2"/>
          <c:tx>
            <c:v>2024</c:v>
          </c:tx>
          <c:spPr>
            <a:solidFill>
              <a:srgbClr val="922129"/>
            </a:solidFill>
            <a:ln>
              <a:noFill/>
            </a:ln>
            <a:effectLst/>
          </c:spPr>
          <c:invertIfNegative val="0"/>
          <c:dLbls>
            <c:dLbl>
              <c:idx val="0"/>
              <c:layout>
                <c:manualLayout>
                  <c:x val="3.5914702581369209E-2"/>
                  <c:y val="-2.959341654164453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2A-4CD8-AB52-69EAAD7D5F7B}"/>
                </c:ext>
              </c:extLst>
            </c:dLbl>
            <c:dLbl>
              <c:idx val="1"/>
              <c:layout>
                <c:manualLayout>
                  <c:x val="3.8159371492704826E-2"/>
                  <c:y val="3.22841000807096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2A-4CD8-AB52-69EAAD7D5F7B}"/>
                </c:ext>
              </c:extLst>
            </c:dLbl>
            <c:dLbl>
              <c:idx val="2"/>
              <c:layout>
                <c:manualLayout>
                  <c:x val="2.469135802469135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E2A-4CD8-AB52-69EAAD7D5F7B}"/>
                </c:ext>
              </c:extLst>
            </c:dLbl>
            <c:dLbl>
              <c:idx val="3"/>
              <c:layout>
                <c:manualLayout>
                  <c:x val="3.3670033670033669E-2"/>
                  <c:y val="3.228410008071024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2A-4CD8-AB52-69EAAD7D5F7B}"/>
                </c:ext>
              </c:extLst>
            </c:dLbl>
            <c:numFmt formatCode="#,##0.00\ &quot;€&quot;" sourceLinked="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FR1_Data!$AC$2:$AF$2</c:f>
              <c:numCache>
                <c:formatCode>#\ ##0.00\ "€"</c:formatCode>
                <c:ptCount val="4"/>
                <c:pt idx="0">
                  <c:v>1485.9999999999998</c:v>
                </c:pt>
                <c:pt idx="1">
                  <c:v>1177.6999999999996</c:v>
                </c:pt>
                <c:pt idx="2">
                  <c:v>173.09999999999997</c:v>
                </c:pt>
                <c:pt idx="3">
                  <c:v>226.89999999999998</c:v>
                </c:pt>
              </c:numCache>
            </c:numRef>
          </c:val>
          <c:extLst>
            <c:ext xmlns:c16="http://schemas.microsoft.com/office/drawing/2014/chart" uri="{C3380CC4-5D6E-409C-BE32-E72D297353CC}">
              <c16:uniqueId val="{0000000A-DE2A-4CD8-AB52-69EAAD7D5F7B}"/>
            </c:ext>
          </c:extLst>
        </c:ser>
        <c:dLbls>
          <c:dLblPos val="outEnd"/>
          <c:showLegendKey val="0"/>
          <c:showVal val="1"/>
          <c:showCatName val="0"/>
          <c:showSerName val="0"/>
          <c:showPercent val="0"/>
          <c:showBubbleSize val="0"/>
        </c:dLbls>
        <c:gapWidth val="219"/>
        <c:overlap val="-27"/>
        <c:axId val="1381736527"/>
        <c:axId val="1381727791"/>
      </c:barChart>
      <c:catAx>
        <c:axId val="138173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Tailles /</a:t>
                </a:r>
                <a:r>
                  <a:rPr lang="fr-FR" baseline="0"/>
                  <a:t> Année</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81727791"/>
        <c:crosses val="autoZero"/>
        <c:auto val="1"/>
        <c:lblAlgn val="ctr"/>
        <c:lblOffset val="100"/>
        <c:noMultiLvlLbl val="0"/>
      </c:catAx>
      <c:valAx>
        <c:axId val="138172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Montant des ventes (en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817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a:t>Montant total des ventes pour chaque taille sur les 3 dernières</a:t>
            </a:r>
            <a:r>
              <a:rPr lang="fr-FR" sz="1200" baseline="0"/>
              <a:t> années d'activité</a:t>
            </a:r>
            <a:endParaRPr lang="fr-F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2129"/>
              </a:solidFill>
              <a:ln>
                <a:noFill/>
              </a:ln>
              <a:effectLst/>
            </c:spPr>
            <c:extLst>
              <c:ext xmlns:c16="http://schemas.microsoft.com/office/drawing/2014/chart" uri="{C3380CC4-5D6E-409C-BE32-E72D297353CC}">
                <c16:uniqueId val="{00000001-C8A2-4D56-A347-2497F59DF3E5}"/>
              </c:ext>
            </c:extLst>
          </c:dPt>
          <c:dPt>
            <c:idx val="1"/>
            <c:invertIfNegative val="0"/>
            <c:bubble3D val="0"/>
            <c:spPr>
              <a:solidFill>
                <a:srgbClr val="AC5355"/>
              </a:solidFill>
              <a:ln>
                <a:noFill/>
              </a:ln>
              <a:effectLst/>
            </c:spPr>
            <c:extLst>
              <c:ext xmlns:c16="http://schemas.microsoft.com/office/drawing/2014/chart" uri="{C3380CC4-5D6E-409C-BE32-E72D297353CC}">
                <c16:uniqueId val="{00000003-C8A2-4D56-A347-2497F59DF3E5}"/>
              </c:ext>
            </c:extLst>
          </c:dPt>
          <c:dPt>
            <c:idx val="2"/>
            <c:invertIfNegative val="0"/>
            <c:bubble3D val="0"/>
            <c:spPr>
              <a:solidFill>
                <a:srgbClr val="F6A0A8"/>
              </a:solidFill>
              <a:ln>
                <a:noFill/>
              </a:ln>
              <a:effectLst/>
            </c:spPr>
            <c:extLst>
              <c:ext xmlns:c16="http://schemas.microsoft.com/office/drawing/2014/chart" uri="{C3380CC4-5D6E-409C-BE32-E72D297353CC}">
                <c16:uniqueId val="{00000005-C8A2-4D56-A347-2497F59DF3E5}"/>
              </c:ext>
            </c:extLst>
          </c:dPt>
          <c:dPt>
            <c:idx val="3"/>
            <c:invertIfNegative val="0"/>
            <c:bubble3D val="0"/>
            <c:spPr>
              <a:solidFill>
                <a:srgbClr val="F6A0A8"/>
              </a:solidFill>
              <a:ln>
                <a:noFill/>
              </a:ln>
              <a:effectLst/>
            </c:spPr>
            <c:extLst>
              <c:ext xmlns:c16="http://schemas.microsoft.com/office/drawing/2014/chart" uri="{C3380CC4-5D6E-409C-BE32-E72D297353CC}">
                <c16:uniqueId val="{00000007-C8A2-4D56-A347-2497F59DF3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FR1_Data!$Q$3:$T$3</c:f>
              <c:strCache>
                <c:ptCount val="4"/>
                <c:pt idx="0">
                  <c:v>G</c:v>
                </c:pt>
                <c:pt idx="1">
                  <c:v>M</c:v>
                </c:pt>
                <c:pt idx="2">
                  <c:v>S</c:v>
                </c:pt>
                <c:pt idx="3">
                  <c:v>XL</c:v>
                </c:pt>
              </c:strCache>
            </c:strRef>
          </c:cat>
          <c:val>
            <c:numRef>
              <c:f>FR1_Data!$Q$4:$T$4</c:f>
              <c:numCache>
                <c:formatCode>#\ ##0.00\ "€"</c:formatCode>
                <c:ptCount val="4"/>
                <c:pt idx="0">
                  <c:v>4186.3999999999996</c:v>
                </c:pt>
                <c:pt idx="1">
                  <c:v>3468.5999999999967</c:v>
                </c:pt>
                <c:pt idx="2">
                  <c:v>472.19999999999993</c:v>
                </c:pt>
                <c:pt idx="3">
                  <c:v>339.20000000000005</c:v>
                </c:pt>
              </c:numCache>
            </c:numRef>
          </c:val>
          <c:extLst>
            <c:ext xmlns:c16="http://schemas.microsoft.com/office/drawing/2014/chart" uri="{C3380CC4-5D6E-409C-BE32-E72D297353CC}">
              <c16:uniqueId val="{00000008-C8A2-4D56-A347-2497F59DF3E5}"/>
            </c:ext>
          </c:extLst>
        </c:ser>
        <c:dLbls>
          <c:dLblPos val="outEnd"/>
          <c:showLegendKey val="0"/>
          <c:showVal val="1"/>
          <c:showCatName val="0"/>
          <c:showSerName val="0"/>
          <c:showPercent val="0"/>
          <c:showBubbleSize val="0"/>
        </c:dLbls>
        <c:gapWidth val="219"/>
        <c:overlap val="-27"/>
        <c:axId val="1381756911"/>
        <c:axId val="1381754831"/>
      </c:barChart>
      <c:catAx>
        <c:axId val="1381756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Tailles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81754831"/>
        <c:crosses val="autoZero"/>
        <c:auto val="1"/>
        <c:lblAlgn val="ctr"/>
        <c:lblOffset val="100"/>
        <c:noMultiLvlLbl val="0"/>
      </c:catAx>
      <c:valAx>
        <c:axId val="138175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Montant des ventes (en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3817569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a:t>Distribution des</a:t>
            </a:r>
            <a:r>
              <a:rPr lang="fr-FR" sz="1200" baseline="0"/>
              <a:t> quantités vendues pour chaque jour de la semaine sur les 3 dernières années d'activité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6A0A8"/>
              </a:solidFill>
              <a:ln>
                <a:noFill/>
              </a:ln>
              <a:effectLst/>
            </c:spPr>
            <c:extLst>
              <c:ext xmlns:c16="http://schemas.microsoft.com/office/drawing/2014/chart" uri="{C3380CC4-5D6E-409C-BE32-E72D297353CC}">
                <c16:uniqueId val="{00000002-2718-4FCF-BEEB-AAA592DAE0F6}"/>
              </c:ext>
            </c:extLst>
          </c:dPt>
          <c:dPt>
            <c:idx val="1"/>
            <c:invertIfNegative val="0"/>
            <c:bubble3D val="0"/>
            <c:spPr>
              <a:solidFill>
                <a:srgbClr val="922129"/>
              </a:solidFill>
              <a:ln>
                <a:noFill/>
              </a:ln>
              <a:effectLst/>
            </c:spPr>
            <c:extLst>
              <c:ext xmlns:c16="http://schemas.microsoft.com/office/drawing/2014/chart" uri="{C3380CC4-5D6E-409C-BE32-E72D297353CC}">
                <c16:uniqueId val="{00000003-2718-4FCF-BEEB-AAA592DAE0F6}"/>
              </c:ext>
            </c:extLst>
          </c:dPt>
          <c:dPt>
            <c:idx val="2"/>
            <c:invertIfNegative val="0"/>
            <c:bubble3D val="0"/>
            <c:spPr>
              <a:solidFill>
                <a:srgbClr val="AC5355"/>
              </a:solidFill>
              <a:ln>
                <a:noFill/>
              </a:ln>
              <a:effectLst/>
            </c:spPr>
            <c:extLst>
              <c:ext xmlns:c16="http://schemas.microsoft.com/office/drawing/2014/chart" uri="{C3380CC4-5D6E-409C-BE32-E72D297353CC}">
                <c16:uniqueId val="{00000008-2718-4FCF-BEEB-AAA592DAE0F6}"/>
              </c:ext>
            </c:extLst>
          </c:dPt>
          <c:dPt>
            <c:idx val="3"/>
            <c:invertIfNegative val="0"/>
            <c:bubble3D val="0"/>
            <c:spPr>
              <a:solidFill>
                <a:srgbClr val="F6A0A8"/>
              </a:solidFill>
              <a:ln>
                <a:noFill/>
              </a:ln>
              <a:effectLst/>
            </c:spPr>
            <c:extLst>
              <c:ext xmlns:c16="http://schemas.microsoft.com/office/drawing/2014/chart" uri="{C3380CC4-5D6E-409C-BE32-E72D297353CC}">
                <c16:uniqueId val="{00000007-2718-4FCF-BEEB-AAA592DAE0F6}"/>
              </c:ext>
            </c:extLst>
          </c:dPt>
          <c:dPt>
            <c:idx val="4"/>
            <c:invertIfNegative val="0"/>
            <c:bubble3D val="0"/>
            <c:spPr>
              <a:solidFill>
                <a:srgbClr val="AC5355"/>
              </a:solidFill>
              <a:ln>
                <a:noFill/>
              </a:ln>
              <a:effectLst/>
            </c:spPr>
            <c:extLst>
              <c:ext xmlns:c16="http://schemas.microsoft.com/office/drawing/2014/chart" uri="{C3380CC4-5D6E-409C-BE32-E72D297353CC}">
                <c16:uniqueId val="{00000006-2718-4FCF-BEEB-AAA592DAE0F6}"/>
              </c:ext>
            </c:extLst>
          </c:dPt>
          <c:dPt>
            <c:idx val="5"/>
            <c:invertIfNegative val="0"/>
            <c:bubble3D val="0"/>
            <c:spPr>
              <a:solidFill>
                <a:srgbClr val="922129"/>
              </a:solidFill>
              <a:ln>
                <a:noFill/>
              </a:ln>
              <a:effectLst/>
            </c:spPr>
            <c:extLst>
              <c:ext xmlns:c16="http://schemas.microsoft.com/office/drawing/2014/chart" uri="{C3380CC4-5D6E-409C-BE32-E72D297353CC}">
                <c16:uniqueId val="{00000004-2718-4FCF-BEEB-AAA592DAE0F6}"/>
              </c:ext>
            </c:extLst>
          </c:dPt>
          <c:dPt>
            <c:idx val="6"/>
            <c:invertIfNegative val="0"/>
            <c:bubble3D val="0"/>
            <c:spPr>
              <a:solidFill>
                <a:srgbClr val="F6A0A8"/>
              </a:solidFill>
              <a:ln>
                <a:noFill/>
              </a:ln>
              <a:effectLst/>
            </c:spPr>
            <c:extLst>
              <c:ext xmlns:c16="http://schemas.microsoft.com/office/drawing/2014/chart" uri="{C3380CC4-5D6E-409C-BE32-E72D297353CC}">
                <c16:uniqueId val="{00000005-2718-4FCF-BEEB-AAA592DAE0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FR2_Data!$G$3:$G$9</c:f>
              <c:strCache>
                <c:ptCount val="7"/>
                <c:pt idx="0">
                  <c:v>Lundi</c:v>
                </c:pt>
                <c:pt idx="1">
                  <c:v>Mardi</c:v>
                </c:pt>
                <c:pt idx="2">
                  <c:v>Mercredi</c:v>
                </c:pt>
                <c:pt idx="3">
                  <c:v>Jeudi</c:v>
                </c:pt>
                <c:pt idx="4">
                  <c:v>Vendredi</c:v>
                </c:pt>
                <c:pt idx="5">
                  <c:v>Samedi</c:v>
                </c:pt>
                <c:pt idx="6">
                  <c:v>Dimanche</c:v>
                </c:pt>
              </c:strCache>
            </c:strRef>
          </c:cat>
          <c:val>
            <c:numRef>
              <c:f>FR2_Data!$H$3:$H$9</c:f>
              <c:numCache>
                <c:formatCode>General</c:formatCode>
                <c:ptCount val="7"/>
                <c:pt idx="0">
                  <c:v>170</c:v>
                </c:pt>
                <c:pt idx="1">
                  <c:v>248</c:v>
                </c:pt>
                <c:pt idx="2">
                  <c:v>172</c:v>
                </c:pt>
                <c:pt idx="3">
                  <c:v>181</c:v>
                </c:pt>
                <c:pt idx="4">
                  <c:v>192</c:v>
                </c:pt>
                <c:pt idx="5">
                  <c:v>222</c:v>
                </c:pt>
                <c:pt idx="6">
                  <c:v>222</c:v>
                </c:pt>
              </c:numCache>
            </c:numRef>
          </c:val>
          <c:extLst>
            <c:ext xmlns:c16="http://schemas.microsoft.com/office/drawing/2014/chart" uri="{C3380CC4-5D6E-409C-BE32-E72D297353CC}">
              <c16:uniqueId val="{00000000-2718-4FCF-BEEB-AAA592DAE0F6}"/>
            </c:ext>
          </c:extLst>
        </c:ser>
        <c:dLbls>
          <c:dLblPos val="outEnd"/>
          <c:showLegendKey val="0"/>
          <c:showVal val="1"/>
          <c:showCatName val="0"/>
          <c:showSerName val="0"/>
          <c:showPercent val="0"/>
          <c:showBubbleSize val="0"/>
        </c:dLbls>
        <c:gapWidth val="219"/>
        <c:overlap val="-27"/>
        <c:axId val="84392608"/>
        <c:axId val="84396352"/>
      </c:barChart>
      <c:catAx>
        <c:axId val="8439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Jours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396352"/>
        <c:crosses val="autoZero"/>
        <c:auto val="1"/>
        <c:lblAlgn val="ctr"/>
        <c:lblOffset val="100"/>
        <c:noMultiLvlLbl val="0"/>
      </c:catAx>
      <c:valAx>
        <c:axId val="8439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Quantités</a:t>
                </a:r>
                <a:r>
                  <a:rPr lang="fr-FR" baseline="0"/>
                  <a:t> vendues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3926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a:t>Distribution</a:t>
            </a:r>
            <a:r>
              <a:rPr lang="fr-FR" sz="1200" baseline="0"/>
              <a:t> des quantités vendues pour chaque jour de la semaine sur les 3 dernières années d'activité</a:t>
            </a:r>
            <a:endParaRPr lang="fr-F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FR2_Data!$O$12</c:f>
              <c:strCache>
                <c:ptCount val="1"/>
                <c:pt idx="0">
                  <c:v>Juillet</c:v>
                </c:pt>
              </c:strCache>
            </c:strRef>
          </c:tx>
          <c:spPr>
            <a:solidFill>
              <a:srgbClr val="F6A0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FR2_Data!$N$13:$N$19</c:f>
              <c:strCache>
                <c:ptCount val="7"/>
                <c:pt idx="0">
                  <c:v>Lundi</c:v>
                </c:pt>
                <c:pt idx="1">
                  <c:v>Mardi</c:v>
                </c:pt>
                <c:pt idx="2">
                  <c:v>Mercredi</c:v>
                </c:pt>
                <c:pt idx="3">
                  <c:v>Jeudi</c:v>
                </c:pt>
                <c:pt idx="4">
                  <c:v>Vendredi</c:v>
                </c:pt>
                <c:pt idx="5">
                  <c:v>Samedi</c:v>
                </c:pt>
                <c:pt idx="6">
                  <c:v>Dimanche</c:v>
                </c:pt>
              </c:strCache>
            </c:strRef>
          </c:cat>
          <c:val>
            <c:numRef>
              <c:f>FR2_Data!$O$13:$O$19</c:f>
              <c:numCache>
                <c:formatCode>General</c:formatCode>
                <c:ptCount val="7"/>
                <c:pt idx="0">
                  <c:v>96</c:v>
                </c:pt>
                <c:pt idx="1">
                  <c:v>164</c:v>
                </c:pt>
                <c:pt idx="2">
                  <c:v>71</c:v>
                </c:pt>
                <c:pt idx="3">
                  <c:v>100</c:v>
                </c:pt>
                <c:pt idx="4">
                  <c:v>105</c:v>
                </c:pt>
                <c:pt idx="5">
                  <c:v>134</c:v>
                </c:pt>
                <c:pt idx="6">
                  <c:v>155</c:v>
                </c:pt>
              </c:numCache>
            </c:numRef>
          </c:val>
          <c:extLst>
            <c:ext xmlns:c16="http://schemas.microsoft.com/office/drawing/2014/chart" uri="{C3380CC4-5D6E-409C-BE32-E72D297353CC}">
              <c16:uniqueId val="{00000000-58CF-4072-898F-B39E50629BD7}"/>
            </c:ext>
          </c:extLst>
        </c:ser>
        <c:ser>
          <c:idx val="1"/>
          <c:order val="1"/>
          <c:tx>
            <c:strRef>
              <c:f>FR2_Data!$P$12</c:f>
              <c:strCache>
                <c:ptCount val="1"/>
                <c:pt idx="0">
                  <c:v>Août</c:v>
                </c:pt>
              </c:strCache>
            </c:strRef>
          </c:tx>
          <c:spPr>
            <a:solidFill>
              <a:srgbClr val="AC53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FR2_Data!$N$13:$N$19</c:f>
              <c:strCache>
                <c:ptCount val="7"/>
                <c:pt idx="0">
                  <c:v>Lundi</c:v>
                </c:pt>
                <c:pt idx="1">
                  <c:v>Mardi</c:v>
                </c:pt>
                <c:pt idx="2">
                  <c:v>Mercredi</c:v>
                </c:pt>
                <c:pt idx="3">
                  <c:v>Jeudi</c:v>
                </c:pt>
                <c:pt idx="4">
                  <c:v>Vendredi</c:v>
                </c:pt>
                <c:pt idx="5">
                  <c:v>Samedi</c:v>
                </c:pt>
                <c:pt idx="6">
                  <c:v>Dimanche</c:v>
                </c:pt>
              </c:strCache>
            </c:strRef>
          </c:cat>
          <c:val>
            <c:numRef>
              <c:f>FR2_Data!$P$13:$P$19</c:f>
              <c:numCache>
                <c:formatCode>General</c:formatCode>
                <c:ptCount val="7"/>
                <c:pt idx="0">
                  <c:v>74</c:v>
                </c:pt>
                <c:pt idx="1">
                  <c:v>84</c:v>
                </c:pt>
                <c:pt idx="2">
                  <c:v>101</c:v>
                </c:pt>
                <c:pt idx="3">
                  <c:v>81</c:v>
                </c:pt>
                <c:pt idx="4">
                  <c:v>87</c:v>
                </c:pt>
                <c:pt idx="5">
                  <c:v>88</c:v>
                </c:pt>
                <c:pt idx="6">
                  <c:v>67</c:v>
                </c:pt>
              </c:numCache>
            </c:numRef>
          </c:val>
          <c:extLst>
            <c:ext xmlns:c16="http://schemas.microsoft.com/office/drawing/2014/chart" uri="{C3380CC4-5D6E-409C-BE32-E72D297353CC}">
              <c16:uniqueId val="{00000001-58CF-4072-898F-B39E50629BD7}"/>
            </c:ext>
          </c:extLst>
        </c:ser>
        <c:dLbls>
          <c:dLblPos val="outEnd"/>
          <c:showLegendKey val="0"/>
          <c:showVal val="1"/>
          <c:showCatName val="0"/>
          <c:showSerName val="0"/>
          <c:showPercent val="0"/>
          <c:showBubbleSize val="0"/>
        </c:dLbls>
        <c:gapWidth val="219"/>
        <c:overlap val="-27"/>
        <c:axId val="170485600"/>
        <c:axId val="170486848"/>
      </c:barChart>
      <c:catAx>
        <c:axId val="1704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0486848"/>
        <c:crosses val="autoZero"/>
        <c:auto val="1"/>
        <c:lblAlgn val="ctr"/>
        <c:lblOffset val="100"/>
        <c:noMultiLvlLbl val="0"/>
      </c:catAx>
      <c:valAx>
        <c:axId val="17048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0485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a:t>Diagramme circulaire des quantités vendues pour pour</a:t>
            </a:r>
            <a:r>
              <a:rPr lang="fr-FR" sz="1200" baseline="0"/>
              <a:t> Juillet et Août sur les 3 dernières années d'activité</a:t>
            </a:r>
            <a:endParaRPr lang="fr-F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rgbClr val="F6A0A8"/>
              </a:solidFill>
              <a:ln w="19050">
                <a:solidFill>
                  <a:schemeClr val="lt1"/>
                </a:solidFill>
              </a:ln>
              <a:effectLst/>
            </c:spPr>
            <c:extLst>
              <c:ext xmlns:c16="http://schemas.microsoft.com/office/drawing/2014/chart" uri="{C3380CC4-5D6E-409C-BE32-E72D297353CC}">
                <c16:uniqueId val="{00000001-E388-4B0E-B6BC-B237A285DFEB}"/>
              </c:ext>
            </c:extLst>
          </c:dPt>
          <c:dPt>
            <c:idx val="1"/>
            <c:bubble3D val="0"/>
            <c:spPr>
              <a:solidFill>
                <a:srgbClr val="AC5355"/>
              </a:solidFill>
              <a:ln w="19050">
                <a:solidFill>
                  <a:schemeClr val="lt1"/>
                </a:solidFill>
              </a:ln>
              <a:effectLst/>
            </c:spPr>
            <c:extLst>
              <c:ext xmlns:c16="http://schemas.microsoft.com/office/drawing/2014/chart" uri="{C3380CC4-5D6E-409C-BE32-E72D297353CC}">
                <c16:uniqueId val="{00000003-E388-4B0E-B6BC-B237A285DF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FR2_Data!$J$5:$K$5</c:f>
              <c:strCache>
                <c:ptCount val="2"/>
                <c:pt idx="0">
                  <c:v>Juillet</c:v>
                </c:pt>
                <c:pt idx="1">
                  <c:v>Aout</c:v>
                </c:pt>
              </c:strCache>
            </c:strRef>
          </c:cat>
          <c:val>
            <c:numRef>
              <c:f>FR2_Data!$J$6:$K$6</c:f>
              <c:numCache>
                <c:formatCode>General</c:formatCode>
                <c:ptCount val="2"/>
                <c:pt idx="0">
                  <c:v>825</c:v>
                </c:pt>
                <c:pt idx="1">
                  <c:v>582</c:v>
                </c:pt>
              </c:numCache>
            </c:numRef>
          </c:val>
          <c:extLst>
            <c:ext xmlns:c16="http://schemas.microsoft.com/office/drawing/2014/chart" uri="{C3380CC4-5D6E-409C-BE32-E72D297353CC}">
              <c16:uniqueId val="{00000004-E388-4B0E-B6BC-B237A285DFE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FR3_Data!$O$32</c:f>
              <c:strCache>
                <c:ptCount val="1"/>
                <c:pt idx="0">
                  <c:v>fréquence cumulé du prix de la commande</c:v>
                </c:pt>
              </c:strCache>
            </c:strRef>
          </c:tx>
          <c:spPr>
            <a:ln w="44450" cap="rnd">
              <a:solidFill>
                <a:srgbClr val="F6A0A8"/>
              </a:solidFill>
              <a:round/>
            </a:ln>
            <a:effectLst/>
          </c:spPr>
          <c:marker>
            <c:symbol val="none"/>
          </c:marker>
          <c:xVal>
            <c:numRef>
              <c:f>FR3_Data!$L$33:$L$51</c:f>
              <c:numCache>
                <c:formatCode>General</c:formatCode>
                <c:ptCount val="19"/>
                <c:pt idx="0">
                  <c:v>0</c:v>
                </c:pt>
                <c:pt idx="1">
                  <c:v>2.5</c:v>
                </c:pt>
                <c:pt idx="2">
                  <c:v>5.5</c:v>
                </c:pt>
                <c:pt idx="3">
                  <c:v>8</c:v>
                </c:pt>
                <c:pt idx="4">
                  <c:v>10.5</c:v>
                </c:pt>
                <c:pt idx="5">
                  <c:v>13</c:v>
                </c:pt>
                <c:pt idx="6">
                  <c:v>15.5</c:v>
                </c:pt>
                <c:pt idx="7">
                  <c:v>18</c:v>
                </c:pt>
                <c:pt idx="8">
                  <c:v>20.5</c:v>
                </c:pt>
                <c:pt idx="9">
                  <c:v>23</c:v>
                </c:pt>
                <c:pt idx="10">
                  <c:v>25.5</c:v>
                </c:pt>
                <c:pt idx="11">
                  <c:v>28</c:v>
                </c:pt>
                <c:pt idx="12">
                  <c:v>30.5</c:v>
                </c:pt>
                <c:pt idx="13">
                  <c:v>33</c:v>
                </c:pt>
                <c:pt idx="14">
                  <c:v>35.5</c:v>
                </c:pt>
                <c:pt idx="15">
                  <c:v>38</c:v>
                </c:pt>
                <c:pt idx="16">
                  <c:v>40.5</c:v>
                </c:pt>
                <c:pt idx="17">
                  <c:v>43</c:v>
                </c:pt>
                <c:pt idx="18">
                  <c:v>70.5</c:v>
                </c:pt>
              </c:numCache>
            </c:numRef>
          </c:xVal>
          <c:yVal>
            <c:numRef>
              <c:f>FR3_Data!$O$33:$O$51</c:f>
              <c:numCache>
                <c:formatCode>General</c:formatCode>
                <c:ptCount val="19"/>
                <c:pt idx="0">
                  <c:v>0</c:v>
                </c:pt>
                <c:pt idx="1">
                  <c:v>0</c:v>
                </c:pt>
                <c:pt idx="2" formatCode="0.00%">
                  <c:v>0.23691099476439789</c:v>
                </c:pt>
                <c:pt idx="3" formatCode="0.00%">
                  <c:v>0.45811518324607331</c:v>
                </c:pt>
                <c:pt idx="4" formatCode="0.00%">
                  <c:v>0.60471204188481675</c:v>
                </c:pt>
                <c:pt idx="5" formatCode="0.00%">
                  <c:v>0.70287958115183247</c:v>
                </c:pt>
                <c:pt idx="6" formatCode="0.00%">
                  <c:v>0.81151832460732987</c:v>
                </c:pt>
                <c:pt idx="7" formatCode="0.00%">
                  <c:v>0.86256544502617805</c:v>
                </c:pt>
                <c:pt idx="8" formatCode="0.00%">
                  <c:v>0.91361256544502623</c:v>
                </c:pt>
                <c:pt idx="9" formatCode="0.00%">
                  <c:v>0.94895287958115182</c:v>
                </c:pt>
                <c:pt idx="10" formatCode="0.00%">
                  <c:v>0.96465968586387429</c:v>
                </c:pt>
                <c:pt idx="11" formatCode="0.00%">
                  <c:v>0.97513089005235598</c:v>
                </c:pt>
                <c:pt idx="12" formatCode="0.00%">
                  <c:v>0.98821989528795806</c:v>
                </c:pt>
                <c:pt idx="13" formatCode="0.00%">
                  <c:v>0.99214659685863871</c:v>
                </c:pt>
                <c:pt idx="14" formatCode="0.00%">
                  <c:v>0.99345549738219896</c:v>
                </c:pt>
                <c:pt idx="15" formatCode="0.00%">
                  <c:v>0.99476439790575921</c:v>
                </c:pt>
                <c:pt idx="16" formatCode="0.00%">
                  <c:v>0.99607329842931935</c:v>
                </c:pt>
                <c:pt idx="17" formatCode="0.00%">
                  <c:v>0.99869109947643975</c:v>
                </c:pt>
                <c:pt idx="18" formatCode="0.00%">
                  <c:v>1</c:v>
                </c:pt>
              </c:numCache>
            </c:numRef>
          </c:yVal>
          <c:smooth val="0"/>
          <c:extLst>
            <c:ext xmlns:c16="http://schemas.microsoft.com/office/drawing/2014/chart" uri="{C3380CC4-5D6E-409C-BE32-E72D297353CC}">
              <c16:uniqueId val="{00000000-67D7-49B0-9007-89E2507E51B4}"/>
            </c:ext>
          </c:extLst>
        </c:ser>
        <c:dLbls>
          <c:showLegendKey val="0"/>
          <c:showVal val="0"/>
          <c:showCatName val="0"/>
          <c:showSerName val="0"/>
          <c:showPercent val="0"/>
          <c:showBubbleSize val="0"/>
        </c:dLbls>
        <c:axId val="499439455"/>
        <c:axId val="499437535"/>
      </c:scatterChart>
      <c:valAx>
        <c:axId val="499439455"/>
        <c:scaling>
          <c:orientation val="minMax"/>
          <c:max val="70"/>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9437535"/>
        <c:crosses val="autoZero"/>
        <c:crossBetween val="midCat"/>
      </c:valAx>
      <c:valAx>
        <c:axId val="499437535"/>
        <c:scaling>
          <c:orientation val="minMax"/>
          <c:max val="1.0109999999999999"/>
          <c:min val="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94394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Tuyaux</a:t>
            </a:r>
            <a:r>
              <a:rPr lang="fr-FR" baseline="0"/>
              <a:t> d'org</a:t>
            </a:r>
            <a:r>
              <a:rPr lang="fr-FR"/>
              <a:t> du nombre de commande par clients</a:t>
            </a:r>
          </a:p>
        </c:rich>
      </c:tx>
      <c:layout>
        <c:manualLayout>
          <c:xMode val="edge"/>
          <c:yMode val="edge"/>
          <c:x val="0.15284065397256355"/>
          <c:y val="2.7944108482549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1"/>
        <c:ser>
          <c:idx val="0"/>
          <c:order val="0"/>
          <c:tx>
            <c:strRef>
              <c:f>FR3_Data!$M$153</c:f>
              <c:strCache>
                <c:ptCount val="1"/>
                <c:pt idx="0">
                  <c:v>Nombre de nombre de commandes</c:v>
                </c:pt>
              </c:strCache>
            </c:strRef>
          </c:tx>
          <c:spPr>
            <a:solidFill>
              <a:srgbClr val="F6A0A8"/>
            </a:solidFill>
          </c:spPr>
          <c:invertIfNegative val="0"/>
          <c:dPt>
            <c:idx val="0"/>
            <c:invertIfNegative val="0"/>
            <c:bubble3D val="0"/>
            <c:spPr>
              <a:solidFill>
                <a:srgbClr val="922129"/>
              </a:solidFill>
              <a:ln>
                <a:solidFill>
                  <a:srgbClr val="B8FFFD">
                    <a:alpha val="97000"/>
                  </a:srgbClr>
                </a:solidFill>
              </a:ln>
              <a:effectLst/>
            </c:spPr>
            <c:extLst>
              <c:ext xmlns:c16="http://schemas.microsoft.com/office/drawing/2014/chart" uri="{C3380CC4-5D6E-409C-BE32-E72D297353CC}">
                <c16:uniqueId val="{00000001-7B89-48BE-A00D-E8C3255B8A78}"/>
              </c:ext>
            </c:extLst>
          </c:dPt>
          <c:dPt>
            <c:idx val="1"/>
            <c:invertIfNegative val="0"/>
            <c:bubble3D val="0"/>
            <c:spPr>
              <a:solidFill>
                <a:srgbClr val="AC5355"/>
              </a:solidFill>
              <a:ln>
                <a:noFill/>
              </a:ln>
              <a:effectLst/>
            </c:spPr>
            <c:extLst>
              <c:ext xmlns:c16="http://schemas.microsoft.com/office/drawing/2014/chart" uri="{C3380CC4-5D6E-409C-BE32-E72D297353CC}">
                <c16:uniqueId val="{00000003-7B89-48BE-A00D-E8C3255B8A78}"/>
              </c:ext>
            </c:extLst>
          </c:dPt>
          <c:dPt>
            <c:idx val="2"/>
            <c:invertIfNegative val="0"/>
            <c:bubble3D val="0"/>
            <c:spPr>
              <a:solidFill>
                <a:srgbClr val="F6A0A8"/>
              </a:solidFill>
              <a:ln>
                <a:solidFill>
                  <a:srgbClr val="F6A0A8"/>
                </a:solidFill>
              </a:ln>
              <a:effectLst/>
            </c:spPr>
            <c:extLst>
              <c:ext xmlns:c16="http://schemas.microsoft.com/office/drawing/2014/chart" uri="{C3380CC4-5D6E-409C-BE32-E72D297353CC}">
                <c16:uniqueId val="{00000005-7B89-48BE-A00D-E8C3255B8A78}"/>
              </c:ext>
            </c:extLst>
          </c:dPt>
          <c:dPt>
            <c:idx val="3"/>
            <c:invertIfNegative val="0"/>
            <c:bubble3D val="0"/>
            <c:spPr>
              <a:solidFill>
                <a:srgbClr val="922129"/>
              </a:solidFill>
              <a:ln>
                <a:noFill/>
              </a:ln>
              <a:effectLst/>
            </c:spPr>
            <c:extLst>
              <c:ext xmlns:c16="http://schemas.microsoft.com/office/drawing/2014/chart" uri="{C3380CC4-5D6E-409C-BE32-E72D297353CC}">
                <c16:uniqueId val="{00000007-7B89-48BE-A00D-E8C3255B8A78}"/>
              </c:ext>
            </c:extLst>
          </c:dPt>
          <c:dPt>
            <c:idx val="4"/>
            <c:invertIfNegative val="0"/>
            <c:bubble3D val="0"/>
            <c:spPr>
              <a:solidFill>
                <a:srgbClr val="AC5355"/>
              </a:solidFill>
              <a:ln>
                <a:noFill/>
              </a:ln>
              <a:effectLst/>
            </c:spPr>
            <c:extLst>
              <c:ext xmlns:c16="http://schemas.microsoft.com/office/drawing/2014/chart" uri="{C3380CC4-5D6E-409C-BE32-E72D297353CC}">
                <c16:uniqueId val="{00000009-7B89-48BE-A00D-E8C3255B8A78}"/>
              </c:ext>
            </c:extLst>
          </c:dPt>
          <c:dPt>
            <c:idx val="5"/>
            <c:invertIfNegative val="0"/>
            <c:bubble3D val="0"/>
            <c:spPr>
              <a:solidFill>
                <a:srgbClr val="F6A0A8"/>
              </a:solidFill>
              <a:ln>
                <a:noFill/>
              </a:ln>
              <a:effectLst/>
            </c:spPr>
            <c:extLst>
              <c:ext xmlns:c16="http://schemas.microsoft.com/office/drawing/2014/chart" uri="{C3380CC4-5D6E-409C-BE32-E72D297353CC}">
                <c16:uniqueId val="{0000000B-7B89-48BE-A00D-E8C3255B8A78}"/>
              </c:ext>
            </c:extLst>
          </c:dPt>
          <c:dPt>
            <c:idx val="6"/>
            <c:invertIfNegative val="0"/>
            <c:bubble3D val="0"/>
            <c:spPr>
              <a:solidFill>
                <a:srgbClr val="922129"/>
              </a:solidFill>
              <a:ln>
                <a:noFill/>
              </a:ln>
              <a:effectLst/>
            </c:spPr>
            <c:extLst>
              <c:ext xmlns:c16="http://schemas.microsoft.com/office/drawing/2014/chart" uri="{C3380CC4-5D6E-409C-BE32-E72D297353CC}">
                <c16:uniqueId val="{0000000D-7B89-48BE-A00D-E8C3255B8A78}"/>
              </c:ext>
            </c:extLst>
          </c:dPt>
          <c:dPt>
            <c:idx val="7"/>
            <c:invertIfNegative val="0"/>
            <c:bubble3D val="0"/>
            <c:spPr>
              <a:solidFill>
                <a:srgbClr val="AC5355"/>
              </a:solidFill>
              <a:ln>
                <a:noFill/>
              </a:ln>
              <a:effectLst/>
            </c:spPr>
            <c:extLst>
              <c:ext xmlns:c16="http://schemas.microsoft.com/office/drawing/2014/chart" uri="{C3380CC4-5D6E-409C-BE32-E72D297353CC}">
                <c16:uniqueId val="{0000000F-7B89-48BE-A00D-E8C3255B8A78}"/>
              </c:ext>
            </c:extLst>
          </c:dPt>
          <c:dPt>
            <c:idx val="8"/>
            <c:invertIfNegative val="0"/>
            <c:bubble3D val="0"/>
            <c:spPr>
              <a:solidFill>
                <a:srgbClr val="F6A0A8"/>
              </a:solidFill>
              <a:ln>
                <a:noFill/>
              </a:ln>
              <a:effectLst/>
            </c:spPr>
            <c:extLst>
              <c:ext xmlns:c16="http://schemas.microsoft.com/office/drawing/2014/chart" uri="{C3380CC4-5D6E-409C-BE32-E72D297353CC}">
                <c16:uniqueId val="{00000011-7B89-48BE-A00D-E8C3255B8A78}"/>
              </c:ext>
            </c:extLst>
          </c:dPt>
          <c:dPt>
            <c:idx val="9"/>
            <c:invertIfNegative val="0"/>
            <c:bubble3D val="0"/>
            <c:spPr>
              <a:solidFill>
                <a:srgbClr val="922129"/>
              </a:solidFill>
              <a:ln>
                <a:noFill/>
              </a:ln>
              <a:effectLst/>
            </c:spPr>
            <c:extLst>
              <c:ext xmlns:c16="http://schemas.microsoft.com/office/drawing/2014/chart" uri="{C3380CC4-5D6E-409C-BE32-E72D297353CC}">
                <c16:uniqueId val="{00000013-7B89-48BE-A00D-E8C3255B8A78}"/>
              </c:ext>
            </c:extLst>
          </c:dPt>
          <c:dPt>
            <c:idx val="10"/>
            <c:invertIfNegative val="0"/>
            <c:bubble3D val="0"/>
            <c:spPr>
              <a:solidFill>
                <a:srgbClr val="AC5355"/>
              </a:solidFill>
              <a:ln>
                <a:noFill/>
              </a:ln>
              <a:effectLst/>
            </c:spPr>
            <c:extLst>
              <c:ext xmlns:c16="http://schemas.microsoft.com/office/drawing/2014/chart" uri="{C3380CC4-5D6E-409C-BE32-E72D297353CC}">
                <c16:uniqueId val="{00000015-7B89-48BE-A00D-E8C3255B8A78}"/>
              </c:ext>
            </c:extLst>
          </c:dPt>
          <c:dPt>
            <c:idx val="11"/>
            <c:invertIfNegative val="0"/>
            <c:bubble3D val="0"/>
            <c:spPr>
              <a:solidFill>
                <a:srgbClr val="F6A0A8"/>
              </a:solidFill>
              <a:ln>
                <a:noFill/>
              </a:ln>
              <a:effectLst/>
            </c:spPr>
            <c:extLst>
              <c:ext xmlns:c16="http://schemas.microsoft.com/office/drawing/2014/chart" uri="{C3380CC4-5D6E-409C-BE32-E72D297353CC}">
                <c16:uniqueId val="{00000017-7B89-48BE-A00D-E8C3255B8A78}"/>
              </c:ext>
            </c:extLst>
          </c:dPt>
          <c:dPt>
            <c:idx val="12"/>
            <c:invertIfNegative val="0"/>
            <c:bubble3D val="0"/>
            <c:spPr>
              <a:solidFill>
                <a:srgbClr val="922129"/>
              </a:solidFill>
              <a:ln>
                <a:noFill/>
              </a:ln>
              <a:effectLst/>
            </c:spPr>
            <c:extLst>
              <c:ext xmlns:c16="http://schemas.microsoft.com/office/drawing/2014/chart" uri="{C3380CC4-5D6E-409C-BE32-E72D297353CC}">
                <c16:uniqueId val="{00000019-7B89-48BE-A00D-E8C3255B8A78}"/>
              </c:ext>
            </c:extLst>
          </c:dPt>
          <c:dPt>
            <c:idx val="13"/>
            <c:invertIfNegative val="0"/>
            <c:bubble3D val="0"/>
            <c:spPr>
              <a:solidFill>
                <a:srgbClr val="AC5355"/>
              </a:solidFill>
              <a:ln>
                <a:noFill/>
              </a:ln>
              <a:effectLst/>
            </c:spPr>
            <c:extLst>
              <c:ext xmlns:c16="http://schemas.microsoft.com/office/drawing/2014/chart" uri="{C3380CC4-5D6E-409C-BE32-E72D297353CC}">
                <c16:uniqueId val="{0000001B-7B89-48BE-A00D-E8C3255B8A78}"/>
              </c:ext>
            </c:extLst>
          </c:dPt>
          <c:dPt>
            <c:idx val="14"/>
            <c:invertIfNegative val="0"/>
            <c:bubble3D val="0"/>
            <c:spPr>
              <a:solidFill>
                <a:srgbClr val="F6A0A8"/>
              </a:solidFill>
              <a:ln>
                <a:noFill/>
              </a:ln>
              <a:effectLst/>
            </c:spPr>
            <c:extLst>
              <c:ext xmlns:c16="http://schemas.microsoft.com/office/drawing/2014/chart" uri="{C3380CC4-5D6E-409C-BE32-E72D297353CC}">
                <c16:uniqueId val="{0000001D-7B89-48BE-A00D-E8C3255B8A78}"/>
              </c:ext>
            </c:extLst>
          </c:dPt>
          <c:dPt>
            <c:idx val="15"/>
            <c:invertIfNegative val="0"/>
            <c:bubble3D val="0"/>
            <c:spPr>
              <a:solidFill>
                <a:srgbClr val="922129"/>
              </a:solidFill>
              <a:ln>
                <a:noFill/>
              </a:ln>
              <a:effectLst/>
            </c:spPr>
            <c:extLst>
              <c:ext xmlns:c16="http://schemas.microsoft.com/office/drawing/2014/chart" uri="{C3380CC4-5D6E-409C-BE32-E72D297353CC}">
                <c16:uniqueId val="{0000001F-7B89-48BE-A00D-E8C3255B8A78}"/>
              </c:ext>
            </c:extLst>
          </c:dPt>
          <c:dPt>
            <c:idx val="16"/>
            <c:invertIfNegative val="0"/>
            <c:bubble3D val="0"/>
            <c:spPr>
              <a:solidFill>
                <a:srgbClr val="AC5355"/>
              </a:solidFill>
              <a:ln>
                <a:noFill/>
              </a:ln>
              <a:effectLst/>
            </c:spPr>
            <c:extLst>
              <c:ext xmlns:c16="http://schemas.microsoft.com/office/drawing/2014/chart" uri="{C3380CC4-5D6E-409C-BE32-E72D297353CC}">
                <c16:uniqueId val="{00000021-7B89-48BE-A00D-E8C3255B8A78}"/>
              </c:ext>
            </c:extLst>
          </c:dPt>
          <c:dPt>
            <c:idx val="17"/>
            <c:invertIfNegative val="0"/>
            <c:bubble3D val="0"/>
            <c:spPr>
              <a:solidFill>
                <a:srgbClr val="F6A0A8"/>
              </a:solidFill>
              <a:ln>
                <a:noFill/>
              </a:ln>
              <a:effectLst/>
            </c:spPr>
            <c:extLst>
              <c:ext xmlns:c16="http://schemas.microsoft.com/office/drawing/2014/chart" uri="{C3380CC4-5D6E-409C-BE32-E72D297353CC}">
                <c16:uniqueId val="{00000023-7B89-48BE-A00D-E8C3255B8A78}"/>
              </c:ext>
            </c:extLst>
          </c:dPt>
          <c:cat>
            <c:numRef>
              <c:f>FR3_Data!$L$154:$L$171</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21</c:v>
                </c:pt>
              </c:numCache>
            </c:numRef>
          </c:cat>
          <c:val>
            <c:numRef>
              <c:f>FR3_Data!$M$154:$M$171</c:f>
              <c:numCache>
                <c:formatCode>General</c:formatCode>
                <c:ptCount val="18"/>
                <c:pt idx="0">
                  <c:v>8</c:v>
                </c:pt>
                <c:pt idx="1">
                  <c:v>12</c:v>
                </c:pt>
                <c:pt idx="2">
                  <c:v>10</c:v>
                </c:pt>
                <c:pt idx="3">
                  <c:v>23</c:v>
                </c:pt>
                <c:pt idx="4">
                  <c:v>12</c:v>
                </c:pt>
                <c:pt idx="5">
                  <c:v>6</c:v>
                </c:pt>
                <c:pt idx="6">
                  <c:v>16</c:v>
                </c:pt>
                <c:pt idx="7">
                  <c:v>9</c:v>
                </c:pt>
                <c:pt idx="8">
                  <c:v>5</c:v>
                </c:pt>
                <c:pt idx="9">
                  <c:v>7</c:v>
                </c:pt>
                <c:pt idx="10">
                  <c:v>5</c:v>
                </c:pt>
                <c:pt idx="11">
                  <c:v>3</c:v>
                </c:pt>
                <c:pt idx="12">
                  <c:v>2</c:v>
                </c:pt>
                <c:pt idx="13">
                  <c:v>2</c:v>
                </c:pt>
                <c:pt idx="14">
                  <c:v>1</c:v>
                </c:pt>
                <c:pt idx="15">
                  <c:v>1</c:v>
                </c:pt>
                <c:pt idx="16">
                  <c:v>1</c:v>
                </c:pt>
                <c:pt idx="17">
                  <c:v>1</c:v>
                </c:pt>
              </c:numCache>
            </c:numRef>
          </c:val>
          <c:extLst>
            <c:ext xmlns:c16="http://schemas.microsoft.com/office/drawing/2014/chart" uri="{C3380CC4-5D6E-409C-BE32-E72D297353CC}">
              <c16:uniqueId val="{00000024-7B89-48BE-A00D-E8C3255B8A78}"/>
            </c:ext>
          </c:extLst>
        </c:ser>
        <c:dLbls>
          <c:showLegendKey val="0"/>
          <c:showVal val="0"/>
          <c:showCatName val="0"/>
          <c:showSerName val="0"/>
          <c:showPercent val="0"/>
          <c:showBubbleSize val="0"/>
        </c:dLbls>
        <c:gapWidth val="29"/>
        <c:overlap val="-50"/>
        <c:axId val="842342735"/>
        <c:axId val="842343215"/>
      </c:barChart>
      <c:catAx>
        <c:axId val="842342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de commande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2343215"/>
        <c:crosses val="autoZero"/>
        <c:auto val="1"/>
        <c:lblAlgn val="ctr"/>
        <c:lblOffset val="100"/>
        <c:noMultiLvlLbl val="0"/>
      </c:catAx>
      <c:valAx>
        <c:axId val="842343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de clients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2342735"/>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B8FFFD"/>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32-4461-9BC0-106940A047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32-4461-9BC0-106940A04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32-4461-9BC0-106940A047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32-4461-9BC0-106940A0471E}"/>
              </c:ext>
            </c:extLst>
          </c:dPt>
          <c:cat>
            <c:strRef>
              <c:f>FR3_Data!$L$139:$L$142</c:f>
              <c:strCache>
                <c:ptCount val="4"/>
                <c:pt idx="0">
                  <c:v>1-5</c:v>
                </c:pt>
                <c:pt idx="1">
                  <c:v>6-10</c:v>
                </c:pt>
                <c:pt idx="2">
                  <c:v>11-15</c:v>
                </c:pt>
                <c:pt idx="3">
                  <c:v>16-21</c:v>
                </c:pt>
              </c:strCache>
            </c:strRef>
          </c:cat>
          <c:val>
            <c:numRef>
              <c:f>FR3_Data!$N$139:$N$142</c:f>
              <c:numCache>
                <c:formatCode>General</c:formatCode>
                <c:ptCount val="4"/>
                <c:pt idx="0">
                  <c:v>0.52419354838709675</c:v>
                </c:pt>
                <c:pt idx="1">
                  <c:v>0.34677419354838712</c:v>
                </c:pt>
                <c:pt idx="2">
                  <c:v>0.10483870967741936</c:v>
                </c:pt>
                <c:pt idx="3">
                  <c:v>2.4193548387096774E-2</c:v>
                </c:pt>
              </c:numCache>
            </c:numRef>
          </c:val>
          <c:extLst>
            <c:ext xmlns:c16="http://schemas.microsoft.com/office/drawing/2014/chart" uri="{C3380CC4-5D6E-409C-BE32-E72D297353CC}">
              <c16:uniqueId val="{00000008-2232-4461-9BC0-106940A0471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aseline="0"/>
              <a:t>fréquence cumulés en fonction </a:t>
            </a:r>
            <a:r>
              <a:rPr lang="en-US" sz="900"/>
              <a:t>du prix des commandes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7.8201239069166859E-2"/>
          <c:y val="0.17648617014261481"/>
          <c:w val="0.90027721466242738"/>
          <c:h val="0.61222858829947302"/>
        </c:manualLayout>
      </c:layout>
      <c:scatterChart>
        <c:scatterStyle val="lineMarker"/>
        <c:varyColors val="0"/>
        <c:ser>
          <c:idx val="0"/>
          <c:order val="0"/>
          <c:tx>
            <c:strRef>
              <c:f>FR3_Data!$O$32</c:f>
              <c:strCache>
                <c:ptCount val="1"/>
                <c:pt idx="0">
                  <c:v>fréquence cumulé du prix de la commande</c:v>
                </c:pt>
              </c:strCache>
            </c:strRef>
          </c:tx>
          <c:spPr>
            <a:ln w="44450" cap="rnd">
              <a:solidFill>
                <a:srgbClr val="F6A0A8"/>
              </a:solidFill>
              <a:round/>
            </a:ln>
            <a:effectLst/>
          </c:spPr>
          <c:marker>
            <c:symbol val="none"/>
          </c:marker>
          <c:xVal>
            <c:numRef>
              <c:f>FR3_Data!$L$33:$L$51</c:f>
              <c:numCache>
                <c:formatCode>General</c:formatCode>
                <c:ptCount val="19"/>
                <c:pt idx="0">
                  <c:v>0</c:v>
                </c:pt>
                <c:pt idx="1">
                  <c:v>2.5</c:v>
                </c:pt>
                <c:pt idx="2">
                  <c:v>5.5</c:v>
                </c:pt>
                <c:pt idx="3">
                  <c:v>8</c:v>
                </c:pt>
                <c:pt idx="4">
                  <c:v>10.5</c:v>
                </c:pt>
                <c:pt idx="5">
                  <c:v>13</c:v>
                </c:pt>
                <c:pt idx="6">
                  <c:v>15.5</c:v>
                </c:pt>
                <c:pt idx="7">
                  <c:v>18</c:v>
                </c:pt>
                <c:pt idx="8">
                  <c:v>20.5</c:v>
                </c:pt>
                <c:pt idx="9">
                  <c:v>23</c:v>
                </c:pt>
                <c:pt idx="10">
                  <c:v>25.5</c:v>
                </c:pt>
                <c:pt idx="11">
                  <c:v>28</c:v>
                </c:pt>
                <c:pt idx="12">
                  <c:v>30.5</c:v>
                </c:pt>
                <c:pt idx="13">
                  <c:v>33</c:v>
                </c:pt>
                <c:pt idx="14">
                  <c:v>35.5</c:v>
                </c:pt>
                <c:pt idx="15">
                  <c:v>38</c:v>
                </c:pt>
                <c:pt idx="16">
                  <c:v>40.5</c:v>
                </c:pt>
                <c:pt idx="17">
                  <c:v>43</c:v>
                </c:pt>
                <c:pt idx="18">
                  <c:v>70.5</c:v>
                </c:pt>
              </c:numCache>
            </c:numRef>
          </c:xVal>
          <c:yVal>
            <c:numRef>
              <c:f>FR3_Data!$O$33:$O$51</c:f>
              <c:numCache>
                <c:formatCode>General</c:formatCode>
                <c:ptCount val="19"/>
                <c:pt idx="0">
                  <c:v>0</c:v>
                </c:pt>
                <c:pt idx="1">
                  <c:v>0</c:v>
                </c:pt>
                <c:pt idx="2" formatCode="0.00%">
                  <c:v>0.23691099476439789</c:v>
                </c:pt>
                <c:pt idx="3" formatCode="0.00%">
                  <c:v>0.45811518324607331</c:v>
                </c:pt>
                <c:pt idx="4" formatCode="0.00%">
                  <c:v>0.60471204188481675</c:v>
                </c:pt>
                <c:pt idx="5" formatCode="0.00%">
                  <c:v>0.70287958115183247</c:v>
                </c:pt>
                <c:pt idx="6" formatCode="0.00%">
                  <c:v>0.81151832460732987</c:v>
                </c:pt>
                <c:pt idx="7" formatCode="0.00%">
                  <c:v>0.86256544502617805</c:v>
                </c:pt>
                <c:pt idx="8" formatCode="0.00%">
                  <c:v>0.91361256544502623</c:v>
                </c:pt>
                <c:pt idx="9" formatCode="0.00%">
                  <c:v>0.94895287958115182</c:v>
                </c:pt>
                <c:pt idx="10" formatCode="0.00%">
                  <c:v>0.96465968586387429</c:v>
                </c:pt>
                <c:pt idx="11" formatCode="0.00%">
                  <c:v>0.97513089005235598</c:v>
                </c:pt>
                <c:pt idx="12" formatCode="0.00%">
                  <c:v>0.98821989528795806</c:v>
                </c:pt>
                <c:pt idx="13" formatCode="0.00%">
                  <c:v>0.99214659685863871</c:v>
                </c:pt>
                <c:pt idx="14" formatCode="0.00%">
                  <c:v>0.99345549738219896</c:v>
                </c:pt>
                <c:pt idx="15" formatCode="0.00%">
                  <c:v>0.99476439790575921</c:v>
                </c:pt>
                <c:pt idx="16" formatCode="0.00%">
                  <c:v>0.99607329842931935</c:v>
                </c:pt>
                <c:pt idx="17" formatCode="0.00%">
                  <c:v>0.99869109947643975</c:v>
                </c:pt>
                <c:pt idx="18" formatCode="0.00%">
                  <c:v>1</c:v>
                </c:pt>
              </c:numCache>
            </c:numRef>
          </c:yVal>
          <c:smooth val="0"/>
          <c:extLst>
            <c:ext xmlns:c16="http://schemas.microsoft.com/office/drawing/2014/chart" uri="{C3380CC4-5D6E-409C-BE32-E72D297353CC}">
              <c16:uniqueId val="{00000000-EFDA-4C9A-912E-003A01FCA1DB}"/>
            </c:ext>
          </c:extLst>
        </c:ser>
        <c:dLbls>
          <c:showLegendKey val="0"/>
          <c:showVal val="0"/>
          <c:showCatName val="0"/>
          <c:showSerName val="0"/>
          <c:showPercent val="0"/>
          <c:showBubbleSize val="0"/>
        </c:dLbls>
        <c:axId val="499439455"/>
        <c:axId val="499437535"/>
      </c:scatterChart>
      <c:valAx>
        <c:axId val="499439455"/>
        <c:scaling>
          <c:orientation val="minMax"/>
          <c:max val="4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fr-FR" sz="800"/>
                  <a:t>Prix de la commande</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9437535"/>
        <c:crosses val="autoZero"/>
        <c:crossBetween val="midCat"/>
      </c:valAx>
      <c:valAx>
        <c:axId val="499437535"/>
        <c:scaling>
          <c:orientation val="minMax"/>
          <c:max val="1.0109999999999999"/>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fr-FR" sz="800"/>
                  <a:t>Fréquence</a:t>
                </a:r>
                <a:r>
                  <a:rPr lang="fr-FR" sz="800" baseline="0"/>
                  <a:t> cumulés</a:t>
                </a:r>
                <a:endParaRPr lang="fr-FR"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94394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fr-FR" sz="900"/>
              <a:t>Répartition du nombre de commande par clients</a:t>
            </a:r>
          </a:p>
        </c:rich>
      </c:tx>
      <c:layout>
        <c:manualLayout>
          <c:xMode val="edge"/>
          <c:yMode val="edge"/>
          <c:x val="0.15284065397256355"/>
          <c:y val="2.7944108482549648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1"/>
        <c:ser>
          <c:idx val="0"/>
          <c:order val="0"/>
          <c:tx>
            <c:strRef>
              <c:f>FR3_Data!$M$153</c:f>
              <c:strCache>
                <c:ptCount val="1"/>
                <c:pt idx="0">
                  <c:v>Nombre de nombre de commandes</c:v>
                </c:pt>
              </c:strCache>
            </c:strRef>
          </c:tx>
          <c:spPr>
            <a:solidFill>
              <a:srgbClr val="F6A0A8"/>
            </a:solidFill>
          </c:spPr>
          <c:invertIfNegative val="0"/>
          <c:dPt>
            <c:idx val="0"/>
            <c:invertIfNegative val="0"/>
            <c:bubble3D val="0"/>
            <c:spPr>
              <a:solidFill>
                <a:srgbClr val="922129"/>
              </a:solidFill>
              <a:ln>
                <a:solidFill>
                  <a:srgbClr val="B8FFFD">
                    <a:alpha val="97000"/>
                  </a:srgbClr>
                </a:solidFill>
              </a:ln>
              <a:effectLst/>
            </c:spPr>
            <c:extLst>
              <c:ext xmlns:c16="http://schemas.microsoft.com/office/drawing/2014/chart" uri="{C3380CC4-5D6E-409C-BE32-E72D297353CC}">
                <c16:uniqueId val="{00000001-2297-4305-A962-92CDC703D64B}"/>
              </c:ext>
            </c:extLst>
          </c:dPt>
          <c:dPt>
            <c:idx val="1"/>
            <c:invertIfNegative val="0"/>
            <c:bubble3D val="0"/>
            <c:spPr>
              <a:solidFill>
                <a:srgbClr val="AC5355"/>
              </a:solidFill>
              <a:ln>
                <a:noFill/>
              </a:ln>
              <a:effectLst/>
            </c:spPr>
            <c:extLst>
              <c:ext xmlns:c16="http://schemas.microsoft.com/office/drawing/2014/chart" uri="{C3380CC4-5D6E-409C-BE32-E72D297353CC}">
                <c16:uniqueId val="{00000003-2297-4305-A962-92CDC703D64B}"/>
              </c:ext>
            </c:extLst>
          </c:dPt>
          <c:dPt>
            <c:idx val="2"/>
            <c:invertIfNegative val="0"/>
            <c:bubble3D val="0"/>
            <c:spPr>
              <a:solidFill>
                <a:srgbClr val="F6A0A8"/>
              </a:solidFill>
              <a:ln>
                <a:solidFill>
                  <a:srgbClr val="F6A0A8"/>
                </a:solidFill>
              </a:ln>
              <a:effectLst/>
            </c:spPr>
            <c:extLst>
              <c:ext xmlns:c16="http://schemas.microsoft.com/office/drawing/2014/chart" uri="{C3380CC4-5D6E-409C-BE32-E72D297353CC}">
                <c16:uniqueId val="{00000005-2297-4305-A962-92CDC703D64B}"/>
              </c:ext>
            </c:extLst>
          </c:dPt>
          <c:dPt>
            <c:idx val="3"/>
            <c:invertIfNegative val="0"/>
            <c:bubble3D val="0"/>
            <c:spPr>
              <a:solidFill>
                <a:srgbClr val="922129"/>
              </a:solidFill>
              <a:ln>
                <a:noFill/>
              </a:ln>
              <a:effectLst/>
            </c:spPr>
            <c:extLst>
              <c:ext xmlns:c16="http://schemas.microsoft.com/office/drawing/2014/chart" uri="{C3380CC4-5D6E-409C-BE32-E72D297353CC}">
                <c16:uniqueId val="{00000007-2297-4305-A962-92CDC703D64B}"/>
              </c:ext>
            </c:extLst>
          </c:dPt>
          <c:dPt>
            <c:idx val="4"/>
            <c:invertIfNegative val="0"/>
            <c:bubble3D val="0"/>
            <c:spPr>
              <a:solidFill>
                <a:srgbClr val="AC5355"/>
              </a:solidFill>
              <a:ln>
                <a:noFill/>
              </a:ln>
              <a:effectLst/>
            </c:spPr>
            <c:extLst>
              <c:ext xmlns:c16="http://schemas.microsoft.com/office/drawing/2014/chart" uri="{C3380CC4-5D6E-409C-BE32-E72D297353CC}">
                <c16:uniqueId val="{00000009-2297-4305-A962-92CDC703D64B}"/>
              </c:ext>
            </c:extLst>
          </c:dPt>
          <c:dPt>
            <c:idx val="5"/>
            <c:invertIfNegative val="0"/>
            <c:bubble3D val="0"/>
            <c:spPr>
              <a:solidFill>
                <a:srgbClr val="F6A0A8"/>
              </a:solidFill>
              <a:ln>
                <a:noFill/>
              </a:ln>
              <a:effectLst/>
            </c:spPr>
            <c:extLst>
              <c:ext xmlns:c16="http://schemas.microsoft.com/office/drawing/2014/chart" uri="{C3380CC4-5D6E-409C-BE32-E72D297353CC}">
                <c16:uniqueId val="{0000000B-2297-4305-A962-92CDC703D64B}"/>
              </c:ext>
            </c:extLst>
          </c:dPt>
          <c:dPt>
            <c:idx val="6"/>
            <c:invertIfNegative val="0"/>
            <c:bubble3D val="0"/>
            <c:spPr>
              <a:solidFill>
                <a:srgbClr val="922129"/>
              </a:solidFill>
              <a:ln>
                <a:noFill/>
              </a:ln>
              <a:effectLst/>
            </c:spPr>
            <c:extLst>
              <c:ext xmlns:c16="http://schemas.microsoft.com/office/drawing/2014/chart" uri="{C3380CC4-5D6E-409C-BE32-E72D297353CC}">
                <c16:uniqueId val="{0000000D-2297-4305-A962-92CDC703D64B}"/>
              </c:ext>
            </c:extLst>
          </c:dPt>
          <c:dPt>
            <c:idx val="7"/>
            <c:invertIfNegative val="0"/>
            <c:bubble3D val="0"/>
            <c:spPr>
              <a:solidFill>
                <a:srgbClr val="AC5355"/>
              </a:solidFill>
              <a:ln>
                <a:noFill/>
              </a:ln>
              <a:effectLst/>
            </c:spPr>
            <c:extLst>
              <c:ext xmlns:c16="http://schemas.microsoft.com/office/drawing/2014/chart" uri="{C3380CC4-5D6E-409C-BE32-E72D297353CC}">
                <c16:uniqueId val="{0000000F-2297-4305-A962-92CDC703D64B}"/>
              </c:ext>
            </c:extLst>
          </c:dPt>
          <c:dPt>
            <c:idx val="8"/>
            <c:invertIfNegative val="0"/>
            <c:bubble3D val="0"/>
            <c:spPr>
              <a:solidFill>
                <a:srgbClr val="F6A0A8"/>
              </a:solidFill>
              <a:ln>
                <a:noFill/>
              </a:ln>
              <a:effectLst/>
            </c:spPr>
            <c:extLst>
              <c:ext xmlns:c16="http://schemas.microsoft.com/office/drawing/2014/chart" uri="{C3380CC4-5D6E-409C-BE32-E72D297353CC}">
                <c16:uniqueId val="{00000011-2297-4305-A962-92CDC703D64B}"/>
              </c:ext>
            </c:extLst>
          </c:dPt>
          <c:dPt>
            <c:idx val="9"/>
            <c:invertIfNegative val="0"/>
            <c:bubble3D val="0"/>
            <c:spPr>
              <a:solidFill>
                <a:srgbClr val="922129"/>
              </a:solidFill>
              <a:ln>
                <a:noFill/>
              </a:ln>
              <a:effectLst/>
            </c:spPr>
            <c:extLst>
              <c:ext xmlns:c16="http://schemas.microsoft.com/office/drawing/2014/chart" uri="{C3380CC4-5D6E-409C-BE32-E72D297353CC}">
                <c16:uniqueId val="{00000013-2297-4305-A962-92CDC703D64B}"/>
              </c:ext>
            </c:extLst>
          </c:dPt>
          <c:dPt>
            <c:idx val="10"/>
            <c:invertIfNegative val="0"/>
            <c:bubble3D val="0"/>
            <c:spPr>
              <a:solidFill>
                <a:srgbClr val="AC5355"/>
              </a:solidFill>
              <a:ln>
                <a:noFill/>
              </a:ln>
              <a:effectLst/>
            </c:spPr>
            <c:extLst>
              <c:ext xmlns:c16="http://schemas.microsoft.com/office/drawing/2014/chart" uri="{C3380CC4-5D6E-409C-BE32-E72D297353CC}">
                <c16:uniqueId val="{00000015-2297-4305-A962-92CDC703D64B}"/>
              </c:ext>
            </c:extLst>
          </c:dPt>
          <c:dPt>
            <c:idx val="11"/>
            <c:invertIfNegative val="0"/>
            <c:bubble3D val="0"/>
            <c:spPr>
              <a:solidFill>
                <a:srgbClr val="F6A0A8"/>
              </a:solidFill>
              <a:ln>
                <a:noFill/>
              </a:ln>
              <a:effectLst/>
            </c:spPr>
            <c:extLst>
              <c:ext xmlns:c16="http://schemas.microsoft.com/office/drawing/2014/chart" uri="{C3380CC4-5D6E-409C-BE32-E72D297353CC}">
                <c16:uniqueId val="{00000017-2297-4305-A962-92CDC703D64B}"/>
              </c:ext>
            </c:extLst>
          </c:dPt>
          <c:dPt>
            <c:idx val="12"/>
            <c:invertIfNegative val="0"/>
            <c:bubble3D val="0"/>
            <c:spPr>
              <a:solidFill>
                <a:srgbClr val="922129"/>
              </a:solidFill>
              <a:ln>
                <a:noFill/>
              </a:ln>
              <a:effectLst/>
            </c:spPr>
            <c:extLst>
              <c:ext xmlns:c16="http://schemas.microsoft.com/office/drawing/2014/chart" uri="{C3380CC4-5D6E-409C-BE32-E72D297353CC}">
                <c16:uniqueId val="{00000019-2297-4305-A962-92CDC703D64B}"/>
              </c:ext>
            </c:extLst>
          </c:dPt>
          <c:dPt>
            <c:idx val="13"/>
            <c:invertIfNegative val="0"/>
            <c:bubble3D val="0"/>
            <c:spPr>
              <a:solidFill>
                <a:srgbClr val="AC5355"/>
              </a:solidFill>
              <a:ln>
                <a:noFill/>
              </a:ln>
              <a:effectLst/>
            </c:spPr>
            <c:extLst>
              <c:ext xmlns:c16="http://schemas.microsoft.com/office/drawing/2014/chart" uri="{C3380CC4-5D6E-409C-BE32-E72D297353CC}">
                <c16:uniqueId val="{0000001B-2297-4305-A962-92CDC703D64B}"/>
              </c:ext>
            </c:extLst>
          </c:dPt>
          <c:dPt>
            <c:idx val="14"/>
            <c:invertIfNegative val="0"/>
            <c:bubble3D val="0"/>
            <c:spPr>
              <a:solidFill>
                <a:srgbClr val="F6A0A8"/>
              </a:solidFill>
              <a:ln>
                <a:noFill/>
              </a:ln>
              <a:effectLst/>
            </c:spPr>
            <c:extLst>
              <c:ext xmlns:c16="http://schemas.microsoft.com/office/drawing/2014/chart" uri="{C3380CC4-5D6E-409C-BE32-E72D297353CC}">
                <c16:uniqueId val="{0000001D-2297-4305-A962-92CDC703D64B}"/>
              </c:ext>
            </c:extLst>
          </c:dPt>
          <c:dPt>
            <c:idx val="15"/>
            <c:invertIfNegative val="0"/>
            <c:bubble3D val="0"/>
            <c:spPr>
              <a:solidFill>
                <a:srgbClr val="922129"/>
              </a:solidFill>
              <a:ln>
                <a:noFill/>
              </a:ln>
              <a:effectLst/>
            </c:spPr>
            <c:extLst>
              <c:ext xmlns:c16="http://schemas.microsoft.com/office/drawing/2014/chart" uri="{C3380CC4-5D6E-409C-BE32-E72D297353CC}">
                <c16:uniqueId val="{0000001F-2297-4305-A962-92CDC703D64B}"/>
              </c:ext>
            </c:extLst>
          </c:dPt>
          <c:dPt>
            <c:idx val="16"/>
            <c:invertIfNegative val="0"/>
            <c:bubble3D val="0"/>
            <c:spPr>
              <a:solidFill>
                <a:srgbClr val="AC5355"/>
              </a:solidFill>
              <a:ln>
                <a:noFill/>
              </a:ln>
              <a:effectLst/>
            </c:spPr>
            <c:extLst>
              <c:ext xmlns:c16="http://schemas.microsoft.com/office/drawing/2014/chart" uri="{C3380CC4-5D6E-409C-BE32-E72D297353CC}">
                <c16:uniqueId val="{00000021-2297-4305-A962-92CDC703D64B}"/>
              </c:ext>
            </c:extLst>
          </c:dPt>
          <c:dPt>
            <c:idx val="17"/>
            <c:invertIfNegative val="0"/>
            <c:bubble3D val="0"/>
            <c:spPr>
              <a:solidFill>
                <a:srgbClr val="F6A0A8"/>
              </a:solidFill>
              <a:ln>
                <a:noFill/>
              </a:ln>
              <a:effectLst/>
            </c:spPr>
            <c:extLst>
              <c:ext xmlns:c16="http://schemas.microsoft.com/office/drawing/2014/chart" uri="{C3380CC4-5D6E-409C-BE32-E72D297353CC}">
                <c16:uniqueId val="{00000023-2297-4305-A962-92CDC703D64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FR3_Data!$L$154:$L$171</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21</c:v>
                </c:pt>
              </c:numCache>
            </c:numRef>
          </c:cat>
          <c:val>
            <c:numRef>
              <c:f>FR3_Data!$M$154:$M$171</c:f>
              <c:numCache>
                <c:formatCode>General</c:formatCode>
                <c:ptCount val="18"/>
                <c:pt idx="0">
                  <c:v>8</c:v>
                </c:pt>
                <c:pt idx="1">
                  <c:v>12</c:v>
                </c:pt>
                <c:pt idx="2">
                  <c:v>10</c:v>
                </c:pt>
                <c:pt idx="3">
                  <c:v>23</c:v>
                </c:pt>
                <c:pt idx="4">
                  <c:v>12</c:v>
                </c:pt>
                <c:pt idx="5">
                  <c:v>6</c:v>
                </c:pt>
                <c:pt idx="6">
                  <c:v>16</c:v>
                </c:pt>
                <c:pt idx="7">
                  <c:v>9</c:v>
                </c:pt>
                <c:pt idx="8">
                  <c:v>5</c:v>
                </c:pt>
                <c:pt idx="9">
                  <c:v>7</c:v>
                </c:pt>
                <c:pt idx="10">
                  <c:v>5</c:v>
                </c:pt>
                <c:pt idx="11">
                  <c:v>3</c:v>
                </c:pt>
                <c:pt idx="12">
                  <c:v>2</c:v>
                </c:pt>
                <c:pt idx="13">
                  <c:v>2</c:v>
                </c:pt>
                <c:pt idx="14">
                  <c:v>1</c:v>
                </c:pt>
                <c:pt idx="15">
                  <c:v>1</c:v>
                </c:pt>
                <c:pt idx="16">
                  <c:v>1</c:v>
                </c:pt>
                <c:pt idx="17">
                  <c:v>1</c:v>
                </c:pt>
              </c:numCache>
            </c:numRef>
          </c:val>
          <c:extLst>
            <c:ext xmlns:c16="http://schemas.microsoft.com/office/drawing/2014/chart" uri="{C3380CC4-5D6E-409C-BE32-E72D297353CC}">
              <c16:uniqueId val="{00000024-2297-4305-A962-92CDC703D64B}"/>
            </c:ext>
          </c:extLst>
        </c:ser>
        <c:dLbls>
          <c:dLblPos val="outEnd"/>
          <c:showLegendKey val="0"/>
          <c:showVal val="1"/>
          <c:showCatName val="0"/>
          <c:showSerName val="0"/>
          <c:showPercent val="0"/>
          <c:showBubbleSize val="0"/>
        </c:dLbls>
        <c:gapWidth val="29"/>
        <c:overlap val="-50"/>
        <c:axId val="842342735"/>
        <c:axId val="842343215"/>
      </c:barChart>
      <c:catAx>
        <c:axId val="8423427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nombre de commande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2343215"/>
        <c:crosses val="autoZero"/>
        <c:auto val="1"/>
        <c:lblAlgn val="ctr"/>
        <c:lblOffset val="100"/>
        <c:noMultiLvlLbl val="0"/>
      </c:catAx>
      <c:valAx>
        <c:axId val="842343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nombre de clients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2342735"/>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B8FFFD"/>
      </a:solidFill>
      <a:round/>
    </a:ln>
    <a:effectLst/>
  </c:spPr>
  <c:txPr>
    <a:bodyPr/>
    <a:lstStyle/>
    <a:p>
      <a:pPr>
        <a:defRPr sz="900"/>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fr-FR" sz="900"/>
              <a:t>Répartition du nombre de commandes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rgbClr val="B8FFFD"/>
              </a:solidFill>
              <a:ln w="19050">
                <a:solidFill>
                  <a:schemeClr val="lt1"/>
                </a:solidFill>
              </a:ln>
              <a:effectLst/>
            </c:spPr>
            <c:extLst>
              <c:ext xmlns:c16="http://schemas.microsoft.com/office/drawing/2014/chart" uri="{C3380CC4-5D6E-409C-BE32-E72D297353CC}">
                <c16:uniqueId val="{00000001-E18D-480A-A183-764CB42820A9}"/>
              </c:ext>
            </c:extLst>
          </c:dPt>
          <c:dPt>
            <c:idx val="1"/>
            <c:bubble3D val="0"/>
            <c:spPr>
              <a:solidFill>
                <a:srgbClr val="F6A0A8"/>
              </a:solidFill>
              <a:ln w="19050">
                <a:solidFill>
                  <a:schemeClr val="lt1"/>
                </a:solidFill>
              </a:ln>
              <a:effectLst/>
            </c:spPr>
            <c:extLst>
              <c:ext xmlns:c16="http://schemas.microsoft.com/office/drawing/2014/chart" uri="{C3380CC4-5D6E-409C-BE32-E72D297353CC}">
                <c16:uniqueId val="{00000003-E18D-480A-A183-764CB42820A9}"/>
              </c:ext>
            </c:extLst>
          </c:dPt>
          <c:dPt>
            <c:idx val="2"/>
            <c:bubble3D val="0"/>
            <c:spPr>
              <a:solidFill>
                <a:srgbClr val="AC5355"/>
              </a:solidFill>
              <a:ln w="19050">
                <a:solidFill>
                  <a:schemeClr val="lt1"/>
                </a:solidFill>
              </a:ln>
              <a:effectLst/>
            </c:spPr>
            <c:extLst>
              <c:ext xmlns:c16="http://schemas.microsoft.com/office/drawing/2014/chart" uri="{C3380CC4-5D6E-409C-BE32-E72D297353CC}">
                <c16:uniqueId val="{00000005-E18D-480A-A183-764CB42820A9}"/>
              </c:ext>
            </c:extLst>
          </c:dPt>
          <c:dPt>
            <c:idx val="3"/>
            <c:bubble3D val="0"/>
            <c:spPr>
              <a:solidFill>
                <a:srgbClr val="922129"/>
              </a:solidFill>
              <a:ln w="19050">
                <a:solidFill>
                  <a:schemeClr val="lt1"/>
                </a:solidFill>
              </a:ln>
              <a:effectLst/>
            </c:spPr>
            <c:extLst>
              <c:ext xmlns:c16="http://schemas.microsoft.com/office/drawing/2014/chart" uri="{C3380CC4-5D6E-409C-BE32-E72D297353CC}">
                <c16:uniqueId val="{00000007-E18D-480A-A183-764CB42820A9}"/>
              </c:ext>
            </c:extLst>
          </c:dPt>
          <c:dLbls>
            <c:dLbl>
              <c:idx val="0"/>
              <c:layout>
                <c:manualLayout>
                  <c:x val="-1.8132162822913137E-2"/>
                  <c:y val="-7.5233991977418785E-3"/>
                </c:manualLayout>
              </c:layout>
              <c:tx>
                <c:rich>
                  <a:bodyPr/>
                  <a:lstStyle/>
                  <a:p>
                    <a:fld id="{8B7D39EB-F693-4B39-8E68-8203BEEE7D38}" type="PERCENTAGE">
                      <a:rPr lang="en-US"/>
                      <a:pPr/>
                      <a:t>[POURCENTAGE]</a:t>
                    </a:fld>
                    <a:endParaRPr lang="fr-F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18D-480A-A183-764CB42820A9}"/>
                </c:ext>
              </c:extLst>
            </c:dLbl>
            <c:dLbl>
              <c:idx val="1"/>
              <c:layout>
                <c:manualLayout>
                  <c:x val="1.6246316105815319E-2"/>
                  <c:y val="4.6753825583122867E-3"/>
                </c:manualLayout>
              </c:layout>
              <c:tx>
                <c:rich>
                  <a:bodyPr/>
                  <a:lstStyle/>
                  <a:p>
                    <a:fld id="{9F4646CB-1575-402D-9FE9-8743BF6563AC}" type="PERCENTAGE">
                      <a:rPr lang="en-US"/>
                      <a:pPr/>
                      <a:t>[POURCENTAGE]</a:t>
                    </a:fld>
                    <a:endParaRPr lang="fr-F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18D-480A-A183-764CB42820A9}"/>
                </c:ext>
              </c:extLst>
            </c:dLbl>
            <c:dLbl>
              <c:idx val="2"/>
              <c:layout>
                <c:manualLayout>
                  <c:x val="-2.2484504885718391E-5"/>
                  <c:y val="8.2012331005794307E-3"/>
                </c:manualLayout>
              </c:layout>
              <c:tx>
                <c:rich>
                  <a:bodyPr/>
                  <a:lstStyle/>
                  <a:p>
                    <a:fld id="{564BC176-45CF-4A29-BF38-67B294B0C3EE}" type="PERCENTAGE">
                      <a:rPr lang="en-US"/>
                      <a:pPr/>
                      <a:t>[POURCENTAGE]</a:t>
                    </a:fld>
                    <a:endParaRPr lang="fr-F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18D-480A-A183-764CB42820A9}"/>
                </c:ext>
              </c:extLst>
            </c:dLbl>
            <c:dLbl>
              <c:idx val="3"/>
              <c:tx>
                <c:rich>
                  <a:bodyPr/>
                  <a:lstStyle/>
                  <a:p>
                    <a:fld id="{EFB55EB4-9374-4F7A-8A83-AE4B20C42E13}" type="PERCENTAGE">
                      <a:rPr lang="en-US"/>
                      <a:pPr/>
                      <a:t>[POURCENTAGE]</a:t>
                    </a:fld>
                    <a:endParaRPr lang="fr-F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18D-480A-A183-764CB42820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FR3_Data!$L$139:$L$142</c:f>
              <c:strCache>
                <c:ptCount val="4"/>
                <c:pt idx="0">
                  <c:v>1-5</c:v>
                </c:pt>
                <c:pt idx="1">
                  <c:v>6-10</c:v>
                </c:pt>
                <c:pt idx="2">
                  <c:v>11-15</c:v>
                </c:pt>
                <c:pt idx="3">
                  <c:v>16-21</c:v>
                </c:pt>
              </c:strCache>
            </c:strRef>
          </c:cat>
          <c:val>
            <c:numRef>
              <c:f>FR3_Data!$N$139:$N$142</c:f>
              <c:numCache>
                <c:formatCode>General</c:formatCode>
                <c:ptCount val="4"/>
                <c:pt idx="0">
                  <c:v>0.52419354838709675</c:v>
                </c:pt>
                <c:pt idx="1">
                  <c:v>0.34677419354838712</c:v>
                </c:pt>
                <c:pt idx="2">
                  <c:v>0.10483870967741936</c:v>
                </c:pt>
                <c:pt idx="3">
                  <c:v>2.4193548387096774E-2</c:v>
                </c:pt>
              </c:numCache>
            </c:numRef>
          </c:val>
          <c:extLst>
            <c:ext xmlns:c16="http://schemas.microsoft.com/office/drawing/2014/chart" uri="{C3380CC4-5D6E-409C-BE32-E72D297353CC}">
              <c16:uniqueId val="{00000008-E18D-480A-A183-764CB42820A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orientation="portrait"/>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7CB3F170-5A1B-4CD9-9475-88580849B4CD}">
          <cx:tx>
            <cx:txData>
              <cx:f>_xlchart.v1.0</cx:f>
              <cx:v>TOTAL_Commande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boite à moustache du prix des commandes</cx:v>
        </cx:txData>
      </cx:tx>
      <cx:txPr>
        <a:bodyPr spcFirstLastPara="1" vertOverflow="ellipsis" horzOverflow="overflow" wrap="square" lIns="0" tIns="0" rIns="0" bIns="0" anchor="ctr" anchorCtr="1"/>
        <a:lstStyle/>
        <a:p>
          <a:pPr algn="ctr" rtl="0">
            <a:defRPr sz="900"/>
          </a:pPr>
          <a:r>
            <a:rPr lang="fr-FR" sz="900" b="0" i="0" u="none" strike="noStrike" baseline="0">
              <a:solidFill>
                <a:sysClr val="windowText" lastClr="000000">
                  <a:lumMod val="65000"/>
                  <a:lumOff val="35000"/>
                </a:sysClr>
              </a:solidFill>
              <a:latin typeface="Calibri" panose="020F0502020204030204"/>
            </a:rPr>
            <a:t>boite à moustache du prix des commandes</a:t>
          </a:r>
        </a:p>
      </cx:txPr>
    </cx:title>
    <cx:plotArea>
      <cx:plotAreaRegion>
        <cx:series layoutId="boxWhisker" uniqueId="{7CB3F170-5A1B-4CD9-9475-88580849B4CD}">
          <cx:tx>
            <cx:txData>
              <cx:f>_xlchart.v1.2</cx:f>
              <cx:v>TOTAL_Commande</cx:v>
            </cx:txData>
          </cx:tx>
          <cx:spPr>
            <a:solidFill>
              <a:srgbClr val="F6A0A8"/>
            </a:solidFill>
            <a:ln>
              <a:solidFill>
                <a:srgbClr val="922129"/>
              </a:solidFill>
            </a:ln>
          </cx:spPr>
          <cx:dataId val="0"/>
          <cx:layoutPr>
            <cx:visibility meanLine="0" meanMarker="1" nonoutliers="0" outliers="1"/>
            <cx:statistics quartileMethod="exclusive"/>
          </cx:layoutPr>
        </cx:series>
      </cx:plotAreaRegion>
      <cx:axis id="0">
        <cx:catScaling gapWidth="1"/>
        <cx:tickLabels/>
      </cx:axis>
      <cx:axis id="1">
        <cx:valScaling/>
        <cx:title>
          <cx:tx>
            <cx:txData>
              <cx:v>prix</cx:v>
            </cx:txData>
          </cx:tx>
          <cx:txPr>
            <a:bodyPr spcFirstLastPara="1" vertOverflow="ellipsis" horzOverflow="overflow" wrap="square" lIns="0" tIns="0" rIns="0" bIns="0" anchor="ctr" anchorCtr="1"/>
            <a:lstStyle/>
            <a:p>
              <a:pPr algn="ctr" rtl="0">
                <a:defRPr/>
              </a:pPr>
              <a:r>
                <a:rPr lang="fr-FR" sz="900" b="0" i="0" u="none" strike="noStrike" baseline="0">
                  <a:solidFill>
                    <a:sysClr val="windowText" lastClr="000000">
                      <a:lumMod val="65000"/>
                      <a:lumOff val="35000"/>
                    </a:sysClr>
                  </a:solidFill>
                  <a:latin typeface="Calibri" panose="020F0502020204030204"/>
                </a:rPr>
                <a:t>prix</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microsoft.com/office/2014/relationships/chartEx" Target="../charts/chartEx1.xml"/><Relationship Id="rId1" Type="http://schemas.openxmlformats.org/officeDocument/2006/relationships/chart" Target="../charts/chart7.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microsoft.com/office/2014/relationships/chartEx" Target="../charts/chartEx2.xml"/><Relationship Id="rId5" Type="http://schemas.openxmlformats.org/officeDocument/2006/relationships/image" Target="../media/image4.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761999</xdr:colOff>
      <xdr:row>7</xdr:row>
      <xdr:rowOff>180975</xdr:rowOff>
    </xdr:from>
    <xdr:to>
      <xdr:col>9</xdr:col>
      <xdr:colOff>790574</xdr:colOff>
      <xdr:row>19</xdr:row>
      <xdr:rowOff>180975</xdr:rowOff>
    </xdr:to>
    <xdr:graphicFrame macro="">
      <xdr:nvGraphicFramePr>
        <xdr:cNvPr id="2" name="Graphique 1">
          <a:extLst>
            <a:ext uri="{FF2B5EF4-FFF2-40B4-BE49-F238E27FC236}">
              <a16:creationId xmlns:a16="http://schemas.microsoft.com/office/drawing/2014/main" id="{6205C2CA-DDE8-44A9-B1A9-88D7383E2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32</xdr:row>
      <xdr:rowOff>9525</xdr:rowOff>
    </xdr:from>
    <xdr:to>
      <xdr:col>7</xdr:col>
      <xdr:colOff>419100</xdr:colOff>
      <xdr:row>50</xdr:row>
      <xdr:rowOff>95250</xdr:rowOff>
    </xdr:to>
    <xdr:graphicFrame macro="">
      <xdr:nvGraphicFramePr>
        <xdr:cNvPr id="4" name="Graphique 3">
          <a:extLst>
            <a:ext uri="{FF2B5EF4-FFF2-40B4-BE49-F238E27FC236}">
              <a16:creationId xmlns:a16="http://schemas.microsoft.com/office/drawing/2014/main" id="{2FD76488-8734-438B-910C-D63C17146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7</xdr:col>
      <xdr:colOff>0</xdr:colOff>
      <xdr:row>31</xdr:row>
      <xdr:rowOff>142875</xdr:rowOff>
    </xdr:to>
    <xdr:graphicFrame macro="">
      <xdr:nvGraphicFramePr>
        <xdr:cNvPr id="5" name="Graphique 4">
          <a:extLst>
            <a:ext uri="{FF2B5EF4-FFF2-40B4-BE49-F238E27FC236}">
              <a16:creationId xmlns:a16="http://schemas.microsoft.com/office/drawing/2014/main" id="{BA37D3CC-E7DC-4FFC-958D-EBDAF0EFD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20</xdr:row>
      <xdr:rowOff>0</xdr:rowOff>
    </xdr:from>
    <xdr:to>
      <xdr:col>10</xdr:col>
      <xdr:colOff>0</xdr:colOff>
      <xdr:row>26</xdr:row>
      <xdr:rowOff>0</xdr:rowOff>
    </xdr:to>
    <xdr:sp macro="" textlink="">
      <xdr:nvSpPr>
        <xdr:cNvPr id="7" name="ZoneTexte 6">
          <a:extLst>
            <a:ext uri="{FF2B5EF4-FFF2-40B4-BE49-F238E27FC236}">
              <a16:creationId xmlns:a16="http://schemas.microsoft.com/office/drawing/2014/main" id="{3D42E810-B739-4A1D-AD4E-F29DC690C3D4}"/>
            </a:ext>
          </a:extLst>
        </xdr:cNvPr>
        <xdr:cNvSpPr txBox="1"/>
      </xdr:nvSpPr>
      <xdr:spPr>
        <a:xfrm>
          <a:off x="5334000" y="3810000"/>
          <a:ext cx="2314575" cy="11430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t>Détails des ventes en fonction des tailles sur les trois dernières</a:t>
          </a:r>
          <a:r>
            <a:rPr lang="fr-FR" sz="1400" b="1" baseline="0"/>
            <a:t> </a:t>
          </a:r>
          <a:r>
            <a:rPr lang="fr-FR" sz="1400" b="1"/>
            <a:t>années d'activité</a:t>
          </a:r>
        </a:p>
      </xdr:txBody>
    </xdr:sp>
    <xdr:clientData/>
  </xdr:twoCellAnchor>
  <xdr:twoCellAnchor editAs="oneCell">
    <xdr:from>
      <xdr:col>1</xdr:col>
      <xdr:colOff>4233</xdr:colOff>
      <xdr:row>1</xdr:row>
      <xdr:rowOff>1</xdr:rowOff>
    </xdr:from>
    <xdr:to>
      <xdr:col>3</xdr:col>
      <xdr:colOff>438150</xdr:colOff>
      <xdr:row>6</xdr:row>
      <xdr:rowOff>178277</xdr:rowOff>
    </xdr:to>
    <xdr:pic>
      <xdr:nvPicPr>
        <xdr:cNvPr id="10" name="Image 9">
          <a:extLst>
            <a:ext uri="{FF2B5EF4-FFF2-40B4-BE49-F238E27FC236}">
              <a16:creationId xmlns:a16="http://schemas.microsoft.com/office/drawing/2014/main" id="{59597C5A-9A9C-4978-8EAC-4D5F7B6F14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8558" y="190501"/>
          <a:ext cx="2072217" cy="1130776"/>
        </a:xfrm>
        <a:prstGeom prst="rect">
          <a:avLst/>
        </a:prstGeom>
      </xdr:spPr>
    </xdr:pic>
    <xdr:clientData/>
  </xdr:twoCellAnchor>
  <xdr:twoCellAnchor>
    <xdr:from>
      <xdr:col>7</xdr:col>
      <xdr:colOff>390525</xdr:colOff>
      <xdr:row>31</xdr:row>
      <xdr:rowOff>28575</xdr:rowOff>
    </xdr:from>
    <xdr:to>
      <xdr:col>9</xdr:col>
      <xdr:colOff>419100</xdr:colOff>
      <xdr:row>37</xdr:row>
      <xdr:rowOff>28575</xdr:rowOff>
    </xdr:to>
    <xdr:sp macro="" textlink="">
      <xdr:nvSpPr>
        <xdr:cNvPr id="11" name="ZoneTexte 10">
          <a:extLst>
            <a:ext uri="{FF2B5EF4-FFF2-40B4-BE49-F238E27FC236}">
              <a16:creationId xmlns:a16="http://schemas.microsoft.com/office/drawing/2014/main" id="{F3A14843-9984-4ED0-9F89-6450ABD89A15}"/>
            </a:ext>
          </a:extLst>
        </xdr:cNvPr>
        <xdr:cNvSpPr txBox="1"/>
      </xdr:nvSpPr>
      <xdr:spPr>
        <a:xfrm>
          <a:off x="5724525" y="5934075"/>
          <a:ext cx="1552575" cy="11430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1"/>
            <a:t>Légende :</a:t>
          </a:r>
          <a:br>
            <a:rPr lang="fr-FR" sz="1100" b="0" i="1"/>
          </a:br>
          <a:r>
            <a:rPr lang="fr-FR" sz="1100" b="0" i="1"/>
            <a:t>S</a:t>
          </a:r>
          <a:r>
            <a:rPr lang="fr-FR" sz="1100" b="0" i="1" baseline="0"/>
            <a:t> : Petite	</a:t>
          </a:r>
          <a:br>
            <a:rPr lang="fr-FR" sz="1100" b="0" i="1" baseline="0"/>
          </a:br>
          <a:r>
            <a:rPr lang="fr-FR" sz="1100" b="0" i="1" baseline="0"/>
            <a:t>M : Moyenne</a:t>
          </a:r>
          <a:br>
            <a:rPr lang="fr-FR" sz="1100" b="0" i="1" baseline="0"/>
          </a:br>
          <a:r>
            <a:rPr lang="fr-FR" sz="1100" b="0" i="1" baseline="0"/>
            <a:t>G : Grande</a:t>
          </a:r>
          <a:br>
            <a:rPr lang="fr-FR" sz="1100" b="0" i="1" baseline="0"/>
          </a:br>
          <a:r>
            <a:rPr lang="fr-FR" sz="1100" b="0" i="1" baseline="0">
              <a:solidFill>
                <a:schemeClr val="dk1"/>
              </a:solidFill>
              <a:effectLst/>
              <a:latin typeface="+mn-lt"/>
              <a:ea typeface="+mn-ea"/>
              <a:cs typeface="+mn-cs"/>
            </a:rPr>
            <a:t>XL : Extra Large</a:t>
          </a:r>
          <a:endParaRPr lang="fr-FR" sz="1100" b="0" i="1"/>
        </a:p>
      </xdr:txBody>
    </xdr:sp>
    <xdr:clientData/>
  </xdr:twoCellAnchor>
  <xdr:twoCellAnchor>
    <xdr:from>
      <xdr:col>1</xdr:col>
      <xdr:colOff>1</xdr:colOff>
      <xdr:row>14</xdr:row>
      <xdr:rowOff>0</xdr:rowOff>
    </xdr:from>
    <xdr:to>
      <xdr:col>5</xdr:col>
      <xdr:colOff>0</xdr:colOff>
      <xdr:row>19</xdr:row>
      <xdr:rowOff>0</xdr:rowOff>
    </xdr:to>
    <xdr:sp macro="" textlink="">
      <xdr:nvSpPr>
        <xdr:cNvPr id="3" name="ZoneTexte 2">
          <a:extLst>
            <a:ext uri="{FF2B5EF4-FFF2-40B4-BE49-F238E27FC236}">
              <a16:creationId xmlns:a16="http://schemas.microsoft.com/office/drawing/2014/main" id="{50BD0DE3-8629-467C-A771-A0E1F5A49E50}"/>
            </a:ext>
          </a:extLst>
        </xdr:cNvPr>
        <xdr:cNvSpPr txBox="1"/>
      </xdr:nvSpPr>
      <xdr:spPr>
        <a:xfrm>
          <a:off x="762001" y="2667000"/>
          <a:ext cx="3047999" cy="9525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Sur</a:t>
          </a:r>
          <a:r>
            <a:rPr lang="fr-FR" sz="1100" baseline="0"/>
            <a:t> les 3 dernières années, l'année 2023 a été celle avec le montant des ventes le plus élevé avec un montant de 3 351,70€.  </a:t>
          </a:r>
          <a:br>
            <a:rPr lang="fr-FR" sz="1100" baseline="0"/>
          </a:br>
          <a:r>
            <a:rPr lang="fr-FR" sz="1100" baseline="0"/>
            <a:t>Il y a une augmentation du montant de </a:t>
          </a:r>
        </a:p>
        <a:p>
          <a:r>
            <a:rPr lang="fr-FR" sz="1100" baseline="0"/>
            <a:t> + </a:t>
          </a:r>
          <a:r>
            <a:rPr lang="fr-FR" sz="1100" b="0" i="0" u="none" strike="noStrike">
              <a:solidFill>
                <a:schemeClr val="dk1"/>
              </a:solidFill>
              <a:effectLst/>
              <a:latin typeface="+mn-lt"/>
              <a:ea typeface="+mn-ea"/>
              <a:cs typeface="+mn-cs"/>
            </a:rPr>
            <a:t>1 300,70€</a:t>
          </a:r>
          <a:r>
            <a:rPr lang="fr-FR"/>
            <a:t> de 2022</a:t>
          </a:r>
          <a:r>
            <a:rPr lang="fr-FR" baseline="0"/>
            <a:t> à 2023.</a:t>
          </a:r>
          <a:endParaRPr lang="fr-FR" sz="1100"/>
        </a:p>
      </xdr:txBody>
    </xdr:sp>
    <xdr:clientData/>
  </xdr:twoCellAnchor>
  <xdr:twoCellAnchor>
    <xdr:from>
      <xdr:col>7</xdr:col>
      <xdr:colOff>390525</xdr:colOff>
      <xdr:row>37</xdr:row>
      <xdr:rowOff>0</xdr:rowOff>
    </xdr:from>
    <xdr:to>
      <xdr:col>10</xdr:col>
      <xdr:colOff>0</xdr:colOff>
      <xdr:row>50</xdr:row>
      <xdr:rowOff>0</xdr:rowOff>
    </xdr:to>
    <xdr:sp macro="" textlink="">
      <xdr:nvSpPr>
        <xdr:cNvPr id="8" name="ZoneTexte 7">
          <a:extLst>
            <a:ext uri="{FF2B5EF4-FFF2-40B4-BE49-F238E27FC236}">
              <a16:creationId xmlns:a16="http://schemas.microsoft.com/office/drawing/2014/main" id="{F1082F49-4090-4E59-946F-68EAAD386F16}"/>
            </a:ext>
          </a:extLst>
        </xdr:cNvPr>
        <xdr:cNvSpPr txBox="1"/>
      </xdr:nvSpPr>
      <xdr:spPr>
        <a:xfrm>
          <a:off x="5724525" y="7048500"/>
          <a:ext cx="1924050" cy="24765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a:t>
          </a:r>
          <a:r>
            <a:rPr lang="fr-FR" sz="1100" baseline="0"/>
            <a:t> montant des ventes le plus élevé est de 1 668,30 € pour 2023 et le produit de taille G.</a:t>
          </a:r>
          <a:br>
            <a:rPr lang="fr-FR" sz="1100" baseline="0"/>
          </a:br>
          <a:br>
            <a:rPr lang="fr-FR" sz="1100" baseline="0"/>
          </a:br>
          <a:r>
            <a:rPr lang="fr-FR" sz="1100" baseline="0"/>
            <a:t>La taille XL est la seule pour 2022 qui  a un montant de ventes de 0,00 €.</a:t>
          </a:r>
          <a:br>
            <a:rPr lang="fr-FR" sz="1100" baseline="0"/>
          </a:br>
          <a:br>
            <a:rPr lang="fr-FR" sz="1100" baseline="0"/>
          </a:br>
          <a:r>
            <a:rPr lang="fr-FR" sz="1100" baseline="0"/>
            <a:t>Il y a une grande différence entre les tailles G et M  qui ont un montant de ventes plus grand que les autres tailles XL.</a:t>
          </a:r>
          <a:endParaRPr lang="fr-FR" sz="1100"/>
        </a:p>
      </xdr:txBody>
    </xdr:sp>
    <xdr:clientData/>
  </xdr:twoCellAnchor>
  <xdr:twoCellAnchor editAs="oneCell">
    <xdr:from>
      <xdr:col>8</xdr:col>
      <xdr:colOff>447675</xdr:colOff>
      <xdr:row>1</xdr:row>
      <xdr:rowOff>9524</xdr:rowOff>
    </xdr:from>
    <xdr:to>
      <xdr:col>9</xdr:col>
      <xdr:colOff>723900</xdr:colOff>
      <xdr:row>6</xdr:row>
      <xdr:rowOff>95249</xdr:rowOff>
    </xdr:to>
    <xdr:pic>
      <xdr:nvPicPr>
        <xdr:cNvPr id="12" name="Image 11">
          <a:extLst>
            <a:ext uri="{FF2B5EF4-FFF2-40B4-BE49-F238E27FC236}">
              <a16:creationId xmlns:a16="http://schemas.microsoft.com/office/drawing/2014/main" id="{B1D6CC2F-B4E5-4BA9-8DB5-55C5E0DADA9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43675" y="200024"/>
          <a:ext cx="1038225" cy="1038225"/>
        </a:xfrm>
        <a:prstGeom prst="rect">
          <a:avLst/>
        </a:prstGeom>
        <a:noFill/>
      </xdr:spPr>
    </xdr:pic>
    <xdr:clientData/>
  </xdr:twoCellAnchor>
  <xdr:twoCellAnchor>
    <xdr:from>
      <xdr:col>8</xdr:col>
      <xdr:colOff>209550</xdr:colOff>
      <xdr:row>6</xdr:row>
      <xdr:rowOff>0</xdr:rowOff>
    </xdr:from>
    <xdr:to>
      <xdr:col>10</xdr:col>
      <xdr:colOff>95250</xdr:colOff>
      <xdr:row>7</xdr:row>
      <xdr:rowOff>152399</xdr:rowOff>
    </xdr:to>
    <xdr:sp macro="" textlink="">
      <xdr:nvSpPr>
        <xdr:cNvPr id="17" name="ZoneTexte 16">
          <a:extLst>
            <a:ext uri="{FF2B5EF4-FFF2-40B4-BE49-F238E27FC236}">
              <a16:creationId xmlns:a16="http://schemas.microsoft.com/office/drawing/2014/main" id="{50782C06-140F-450C-8CE4-075EF6DAA267}"/>
            </a:ext>
          </a:extLst>
        </xdr:cNvPr>
        <xdr:cNvSpPr txBox="1"/>
      </xdr:nvSpPr>
      <xdr:spPr>
        <a:xfrm>
          <a:off x="6305550" y="1143000"/>
          <a:ext cx="1438275" cy="342899"/>
        </a:xfrm>
        <a:prstGeom prst="rect">
          <a:avLst/>
        </a:prstGeom>
        <a:solidFill>
          <a:srgbClr val="F6F6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a:latin typeface="Harlow Solid Italic" panose="04030604020F02020D02" pitchFamily="82" charset="0"/>
            </a:rPr>
            <a:t>By Jojo</a:t>
          </a:r>
          <a:r>
            <a:rPr lang="fr-FR" sz="1100" baseline="0">
              <a:latin typeface="Harlow Solid Italic" panose="04030604020F02020D02" pitchFamily="82" charset="0"/>
            </a:rPr>
            <a:t> &amp; Alix</a:t>
          </a:r>
          <a:endParaRPr lang="fr-FR" sz="1100">
            <a:latin typeface="Harlow Solid Italic" panose="04030604020F02020D02" pitchFamily="82" charset="0"/>
          </a:endParaRPr>
        </a:p>
      </xdr:txBody>
    </xdr:sp>
    <xdr:clientData/>
  </xdr:twoCellAnchor>
  <xdr:twoCellAnchor>
    <xdr:from>
      <xdr:col>8</xdr:col>
      <xdr:colOff>209550</xdr:colOff>
      <xdr:row>6</xdr:row>
      <xdr:rowOff>66675</xdr:rowOff>
    </xdr:from>
    <xdr:to>
      <xdr:col>10</xdr:col>
      <xdr:colOff>95250</xdr:colOff>
      <xdr:row>8</xdr:row>
      <xdr:rowOff>28574</xdr:rowOff>
    </xdr:to>
    <xdr:sp macro="" textlink="">
      <xdr:nvSpPr>
        <xdr:cNvPr id="20" name="ZoneTexte 19">
          <a:extLst>
            <a:ext uri="{FF2B5EF4-FFF2-40B4-BE49-F238E27FC236}">
              <a16:creationId xmlns:a16="http://schemas.microsoft.com/office/drawing/2014/main" id="{EF42A92A-F2F3-4FF1-AFE0-2477DCFBF4B0}"/>
            </a:ext>
          </a:extLst>
        </xdr:cNvPr>
        <xdr:cNvSpPr txBox="1"/>
      </xdr:nvSpPr>
      <xdr:spPr>
        <a:xfrm>
          <a:off x="6305550" y="1209675"/>
          <a:ext cx="1438275" cy="342899"/>
        </a:xfrm>
        <a:prstGeom prst="rect">
          <a:avLst/>
        </a:prstGeom>
        <a:solidFill>
          <a:srgbClr val="F6F6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a:latin typeface="Harlow Solid Italic" panose="04030604020F02020D02" pitchFamily="82" charset="0"/>
            </a:rPr>
            <a:t>By Jojo</a:t>
          </a:r>
          <a:r>
            <a:rPr lang="fr-FR" sz="1100" baseline="0">
              <a:latin typeface="Harlow Solid Italic" panose="04030604020F02020D02" pitchFamily="82" charset="0"/>
            </a:rPr>
            <a:t> &amp; Alix</a:t>
          </a:r>
          <a:endParaRPr lang="fr-FR" sz="1100">
            <a:latin typeface="Harlow Solid Italic" panose="04030604020F02020D02" pitchFamily="82" charset="0"/>
          </a:endParaRPr>
        </a:p>
      </xdr:txBody>
    </xdr:sp>
    <xdr:clientData/>
  </xdr:twoCellAnchor>
  <xdr:twoCellAnchor>
    <xdr:from>
      <xdr:col>3</xdr:col>
      <xdr:colOff>428624</xdr:colOff>
      <xdr:row>1</xdr:row>
      <xdr:rowOff>9523</xdr:rowOff>
    </xdr:from>
    <xdr:to>
      <xdr:col>8</xdr:col>
      <xdr:colOff>466725</xdr:colOff>
      <xdr:row>7</xdr:row>
      <xdr:rowOff>0</xdr:rowOff>
    </xdr:to>
    <xdr:sp macro="" textlink="">
      <xdr:nvSpPr>
        <xdr:cNvPr id="6" name="ZoneTexte 5">
          <a:extLst>
            <a:ext uri="{FF2B5EF4-FFF2-40B4-BE49-F238E27FC236}">
              <a16:creationId xmlns:a16="http://schemas.microsoft.com/office/drawing/2014/main" id="{EAD6018B-CEB7-4B90-A9D4-E5BC0DD89678}"/>
            </a:ext>
          </a:extLst>
        </xdr:cNvPr>
        <xdr:cNvSpPr txBox="1"/>
      </xdr:nvSpPr>
      <xdr:spPr>
        <a:xfrm>
          <a:off x="2381249" y="200023"/>
          <a:ext cx="4133851" cy="113347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000" b="1" u="sng"/>
            <a:t>Montant</a:t>
          </a:r>
          <a:r>
            <a:rPr lang="fr-FR" sz="2000" b="1" u="sng" baseline="0"/>
            <a:t> des ventes sur les trois dernières années d'activité</a:t>
          </a:r>
          <a:endParaRPr lang="fr-FR" sz="2000" b="1" u="sng"/>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28575</xdr:colOff>
      <xdr:row>6</xdr:row>
      <xdr:rowOff>180974</xdr:rowOff>
    </xdr:from>
    <xdr:to>
      <xdr:col>11</xdr:col>
      <xdr:colOff>752474</xdr:colOff>
      <xdr:row>21</xdr:row>
      <xdr:rowOff>190499</xdr:rowOff>
    </xdr:to>
    <xdr:graphicFrame macro="">
      <xdr:nvGraphicFramePr>
        <xdr:cNvPr id="5" name="Graphique 4">
          <a:extLst>
            <a:ext uri="{FF2B5EF4-FFF2-40B4-BE49-F238E27FC236}">
              <a16:creationId xmlns:a16="http://schemas.microsoft.com/office/drawing/2014/main" id="{606515E1-A2E7-44F8-9C75-F02DA4DA5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323851</xdr:colOff>
      <xdr:row>22</xdr:row>
      <xdr:rowOff>9525</xdr:rowOff>
    </xdr:from>
    <xdr:to>
      <xdr:col>12</xdr:col>
      <xdr:colOff>0</xdr:colOff>
      <xdr:row>37</xdr:row>
      <xdr:rowOff>28575</xdr:rowOff>
    </xdr:to>
    <xdr:graphicFrame macro="">
      <xdr:nvGraphicFramePr>
        <xdr:cNvPr id="6" name="Graphique 5">
          <a:extLst>
            <a:ext uri="{FF2B5EF4-FFF2-40B4-BE49-F238E27FC236}">
              <a16:creationId xmlns:a16="http://schemas.microsoft.com/office/drawing/2014/main" id="{B0ED2661-829F-4F83-9041-AD04BEB87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22</xdr:row>
      <xdr:rowOff>0</xdr:rowOff>
    </xdr:from>
    <xdr:to>
      <xdr:col>7</xdr:col>
      <xdr:colOff>361950</xdr:colOff>
      <xdr:row>37</xdr:row>
      <xdr:rowOff>1</xdr:rowOff>
    </xdr:to>
    <xdr:graphicFrame macro="">
      <xdr:nvGraphicFramePr>
        <xdr:cNvPr id="7" name="Graphique 6">
          <a:extLst>
            <a:ext uri="{FF2B5EF4-FFF2-40B4-BE49-F238E27FC236}">
              <a16:creationId xmlns:a16="http://schemas.microsoft.com/office/drawing/2014/main" id="{87531734-3828-4F6A-B31F-DAE914C23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11200</xdr:colOff>
      <xdr:row>6</xdr:row>
      <xdr:rowOff>0</xdr:rowOff>
    </xdr:from>
    <xdr:to>
      <xdr:col>5</xdr:col>
      <xdr:colOff>466285</xdr:colOff>
      <xdr:row>12</xdr:row>
      <xdr:rowOff>0</xdr:rowOff>
    </xdr:to>
    <xdr:pic>
      <xdr:nvPicPr>
        <xdr:cNvPr id="3" name="Image 2">
          <a:extLst>
            <a:ext uri="{FF2B5EF4-FFF2-40B4-BE49-F238E27FC236}">
              <a16:creationId xmlns:a16="http://schemas.microsoft.com/office/drawing/2014/main" id="{FE66BA71-89FE-4AFE-89FE-8857B931D9E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97200" y="1143000"/>
          <a:ext cx="1979085" cy="1143000"/>
        </a:xfrm>
        <a:prstGeom prst="rect">
          <a:avLst/>
        </a:prstGeom>
      </xdr:spPr>
    </xdr:pic>
    <xdr:clientData/>
  </xdr:twoCellAnchor>
  <xdr:twoCellAnchor editAs="oneCell">
    <xdr:from>
      <xdr:col>10</xdr:col>
      <xdr:colOff>0</xdr:colOff>
      <xdr:row>0</xdr:row>
      <xdr:rowOff>2</xdr:rowOff>
    </xdr:from>
    <xdr:to>
      <xdr:col>11</xdr:col>
      <xdr:colOff>476249</xdr:colOff>
      <xdr:row>6</xdr:row>
      <xdr:rowOff>95251</xdr:rowOff>
    </xdr:to>
    <xdr:pic>
      <xdr:nvPicPr>
        <xdr:cNvPr id="8" name="Image 7">
          <a:extLst>
            <a:ext uri="{FF2B5EF4-FFF2-40B4-BE49-F238E27FC236}">
              <a16:creationId xmlns:a16="http://schemas.microsoft.com/office/drawing/2014/main" id="{7F6165E2-B54C-4C7F-A064-BFE223276D4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20000" y="2"/>
          <a:ext cx="1238249" cy="1238249"/>
        </a:xfrm>
        <a:prstGeom prst="rect">
          <a:avLst/>
        </a:prstGeom>
      </xdr:spPr>
    </xdr:pic>
    <xdr:clientData/>
  </xdr:twoCellAnchor>
  <xdr:twoCellAnchor>
    <xdr:from>
      <xdr:col>9</xdr:col>
      <xdr:colOff>552449</xdr:colOff>
      <xdr:row>5</xdr:row>
      <xdr:rowOff>180975</xdr:rowOff>
    </xdr:from>
    <xdr:to>
      <xdr:col>11</xdr:col>
      <xdr:colOff>581024</xdr:colOff>
      <xdr:row>7</xdr:row>
      <xdr:rowOff>28576</xdr:rowOff>
    </xdr:to>
    <xdr:sp macro="" textlink="">
      <xdr:nvSpPr>
        <xdr:cNvPr id="19" name="ZoneTexte 18">
          <a:extLst>
            <a:ext uri="{FF2B5EF4-FFF2-40B4-BE49-F238E27FC236}">
              <a16:creationId xmlns:a16="http://schemas.microsoft.com/office/drawing/2014/main" id="{A4A6ACA0-E2C3-4064-A270-C20B6057B72C}"/>
            </a:ext>
          </a:extLst>
        </xdr:cNvPr>
        <xdr:cNvSpPr txBox="1"/>
      </xdr:nvSpPr>
      <xdr:spPr>
        <a:xfrm>
          <a:off x="7410449" y="1133475"/>
          <a:ext cx="1552575" cy="228601"/>
        </a:xfrm>
        <a:prstGeom prst="rect">
          <a:avLst/>
        </a:prstGeom>
        <a:solidFill>
          <a:srgbClr val="F6F6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a:latin typeface="Harlow Solid Italic" panose="04030604020F02020D02" pitchFamily="82" charset="0"/>
            </a:rPr>
            <a:t>By Jojo</a:t>
          </a:r>
          <a:r>
            <a:rPr lang="fr-FR" sz="1100" baseline="0">
              <a:latin typeface="Harlow Solid Italic" panose="04030604020F02020D02" pitchFamily="82" charset="0"/>
            </a:rPr>
            <a:t> &amp; Alix</a:t>
          </a:r>
          <a:endParaRPr lang="fr-FR" sz="1100">
            <a:latin typeface="Harlow Solid Italic" panose="04030604020F02020D02" pitchFamily="82" charset="0"/>
          </a:endParaRPr>
        </a:p>
      </xdr:txBody>
    </xdr:sp>
    <xdr:clientData/>
  </xdr:twoCellAnchor>
  <xdr:twoCellAnchor>
    <xdr:from>
      <xdr:col>3</xdr:col>
      <xdr:colOff>1</xdr:colOff>
      <xdr:row>12</xdr:row>
      <xdr:rowOff>19049</xdr:rowOff>
    </xdr:from>
    <xdr:to>
      <xdr:col>7</xdr:col>
      <xdr:colOff>0</xdr:colOff>
      <xdr:row>21</xdr:row>
      <xdr:rowOff>180974</xdr:rowOff>
    </xdr:to>
    <xdr:sp macro="" textlink="">
      <xdr:nvSpPr>
        <xdr:cNvPr id="20" name="ZoneTexte 19">
          <a:extLst>
            <a:ext uri="{FF2B5EF4-FFF2-40B4-BE49-F238E27FC236}">
              <a16:creationId xmlns:a16="http://schemas.microsoft.com/office/drawing/2014/main" id="{DB1913E7-9022-44E1-8364-36331B290C75}"/>
            </a:ext>
          </a:extLst>
        </xdr:cNvPr>
        <xdr:cNvSpPr txBox="1"/>
      </xdr:nvSpPr>
      <xdr:spPr>
        <a:xfrm>
          <a:off x="2286001" y="2305049"/>
          <a:ext cx="3047999" cy="187642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a:t>
          </a:r>
          <a:r>
            <a:rPr lang="fr-FR" sz="1100" baseline="0"/>
            <a:t> Mardi est le jour de la semaine o</a:t>
          </a:r>
          <a:r>
            <a:rPr lang="fr-FR"/>
            <a:t>ù les</a:t>
          </a:r>
          <a:r>
            <a:rPr lang="fr-FR" baseline="0"/>
            <a:t> quantités vendues sont le plus élevés avec 248 produits vendus.</a:t>
          </a:r>
          <a:br>
            <a:rPr lang="fr-FR" baseline="0"/>
          </a:br>
          <a:br>
            <a:rPr lang="fr-FR" baseline="0"/>
          </a:br>
          <a:r>
            <a:rPr lang="fr-FR" baseline="0"/>
            <a:t>Il y aussi une forte quantité le week-end avec pour Samedi et Dimanche 222 produits vendus.</a:t>
          </a:r>
          <a:br>
            <a:rPr lang="fr-FR" baseline="0"/>
          </a:br>
          <a:br>
            <a:rPr lang="fr-FR" baseline="0"/>
          </a:br>
          <a:r>
            <a:rPr lang="fr-FR" baseline="0"/>
            <a:t>Les quantités vendues pour les autres jours de la semaine(Lundi, Mercredi, Jeudi, Vendredi) sont assez proches ne dépassant pas 200.</a:t>
          </a:r>
          <a:br>
            <a:rPr lang="fr-FR" baseline="0"/>
          </a:br>
          <a:br>
            <a:rPr lang="fr-FR" baseline="0"/>
          </a:br>
          <a:endParaRPr lang="fr-FR" sz="1100"/>
        </a:p>
      </xdr:txBody>
    </xdr:sp>
    <xdr:clientData/>
  </xdr:twoCellAnchor>
  <xdr:twoCellAnchor>
    <xdr:from>
      <xdr:col>3</xdr:col>
      <xdr:colOff>0</xdr:colOff>
      <xdr:row>37</xdr:row>
      <xdr:rowOff>0</xdr:rowOff>
    </xdr:from>
    <xdr:to>
      <xdr:col>7</xdr:col>
      <xdr:colOff>28575</xdr:colOff>
      <xdr:row>44</xdr:row>
      <xdr:rowOff>19050</xdr:rowOff>
    </xdr:to>
    <xdr:sp macro="" textlink="">
      <xdr:nvSpPr>
        <xdr:cNvPr id="2" name="ZoneTexte 1">
          <a:extLst>
            <a:ext uri="{FF2B5EF4-FFF2-40B4-BE49-F238E27FC236}">
              <a16:creationId xmlns:a16="http://schemas.microsoft.com/office/drawing/2014/main" id="{DECE8E71-6824-46CA-86C1-287B217EE188}"/>
            </a:ext>
          </a:extLst>
        </xdr:cNvPr>
        <xdr:cNvSpPr txBox="1"/>
      </xdr:nvSpPr>
      <xdr:spPr>
        <a:xfrm>
          <a:off x="2286000" y="7048500"/>
          <a:ext cx="3076575" cy="13525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a:t>Le</a:t>
          </a:r>
          <a:r>
            <a:rPr lang="fr-FR" sz="1000" baseline="0"/>
            <a:t>s quantités vendues du mois de Juillet sont plus élevés que le mois d'Août.</a:t>
          </a:r>
          <a:br>
            <a:rPr lang="fr-FR" sz="1000" baseline="0"/>
          </a:br>
          <a:r>
            <a:rPr lang="fr-FR" sz="1000" baseline="0"/>
            <a:t>On a 825 produits vendues pour Juillet de 2022 à 2024.</a:t>
          </a:r>
          <a:br>
            <a:rPr lang="fr-FR" sz="1000" baseline="0"/>
          </a:br>
          <a:r>
            <a:rPr lang="fr-FR" sz="1000" baseline="0"/>
            <a:t>Et 582 produits vendues pour Août de 2022 à 2024.</a:t>
          </a:r>
          <a:br>
            <a:rPr lang="fr-FR" sz="1100" baseline="0"/>
          </a:br>
          <a:br>
            <a:rPr lang="fr-FR" sz="1100" baseline="0"/>
          </a:br>
          <a:endParaRPr lang="fr-FR" sz="1100"/>
        </a:p>
      </xdr:txBody>
    </xdr:sp>
    <xdr:clientData/>
  </xdr:twoCellAnchor>
  <xdr:twoCellAnchor>
    <xdr:from>
      <xdr:col>7</xdr:col>
      <xdr:colOff>9526</xdr:colOff>
      <xdr:row>37</xdr:row>
      <xdr:rowOff>1</xdr:rowOff>
    </xdr:from>
    <xdr:to>
      <xdr:col>11</xdr:col>
      <xdr:colOff>742950</xdr:colOff>
      <xdr:row>43</xdr:row>
      <xdr:rowOff>180975</xdr:rowOff>
    </xdr:to>
    <xdr:sp macro="" textlink="">
      <xdr:nvSpPr>
        <xdr:cNvPr id="4" name="ZoneTexte 3">
          <a:extLst>
            <a:ext uri="{FF2B5EF4-FFF2-40B4-BE49-F238E27FC236}">
              <a16:creationId xmlns:a16="http://schemas.microsoft.com/office/drawing/2014/main" id="{0154DFEE-E79E-4A5E-BF74-637C0ED1CE2E}"/>
            </a:ext>
          </a:extLst>
        </xdr:cNvPr>
        <xdr:cNvSpPr txBox="1"/>
      </xdr:nvSpPr>
      <xdr:spPr>
        <a:xfrm>
          <a:off x="5343526" y="7048501"/>
          <a:ext cx="3781424" cy="132397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a:t>Pour</a:t>
          </a:r>
          <a:r>
            <a:rPr lang="fr-FR" sz="1000" baseline="0"/>
            <a:t> le mois de Juillet, le Mardi est le jour de la semaine où les quantités vendues sont le plus élevé. </a:t>
          </a:r>
          <a:br>
            <a:rPr lang="fr-FR" sz="1000" baseline="0"/>
          </a:br>
          <a:r>
            <a:rPr lang="fr-FR" sz="1000" baseline="0"/>
            <a:t>Pour le mois d'Août, il s'agit du Mercredi.</a:t>
          </a:r>
          <a:br>
            <a:rPr lang="fr-FR" sz="1000" baseline="0"/>
          </a:br>
          <a:r>
            <a:rPr lang="fr-FR" sz="1000" baseline="0"/>
            <a:t>Le seul jour qui dépasse des quantités vendues supérieures à 100 pour le mois d'Août est le mercredi.</a:t>
          </a:r>
          <a:br>
            <a:rPr lang="fr-FR" sz="1100" baseline="0"/>
          </a:br>
          <a:endParaRPr lang="fr-FR" sz="1100"/>
        </a:p>
      </xdr:txBody>
    </xdr:sp>
    <xdr:clientData/>
  </xdr:twoCellAnchor>
  <xdr:twoCellAnchor>
    <xdr:from>
      <xdr:col>2</xdr:col>
      <xdr:colOff>761999</xdr:colOff>
      <xdr:row>0</xdr:row>
      <xdr:rowOff>9525</xdr:rowOff>
    </xdr:from>
    <xdr:to>
      <xdr:col>10</xdr:col>
      <xdr:colOff>9525</xdr:colOff>
      <xdr:row>6</xdr:row>
      <xdr:rowOff>9525</xdr:rowOff>
    </xdr:to>
    <xdr:sp macro="" textlink="">
      <xdr:nvSpPr>
        <xdr:cNvPr id="9" name="ZoneTexte 8">
          <a:extLst>
            <a:ext uri="{FF2B5EF4-FFF2-40B4-BE49-F238E27FC236}">
              <a16:creationId xmlns:a16="http://schemas.microsoft.com/office/drawing/2014/main" id="{E5533E0C-416B-40E1-9D68-4A9966F72334}"/>
            </a:ext>
          </a:extLst>
        </xdr:cNvPr>
        <xdr:cNvSpPr txBox="1"/>
      </xdr:nvSpPr>
      <xdr:spPr>
        <a:xfrm>
          <a:off x="2285999" y="9525"/>
          <a:ext cx="5343526" cy="11430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000" b="1" i="0" u="sng"/>
            <a:t>Quantité vendues pour</a:t>
          </a:r>
          <a:r>
            <a:rPr lang="fr-FR" sz="2000" b="1" i="0" u="sng" baseline="0"/>
            <a:t> les trois dernières années d'activité</a:t>
          </a:r>
          <a:endParaRPr lang="fr-FR" sz="2000" b="1" i="0" u="sng"/>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464211</xdr:colOff>
      <xdr:row>53</xdr:row>
      <xdr:rowOff>74966</xdr:rowOff>
    </xdr:from>
    <xdr:to>
      <xdr:col>13</xdr:col>
      <xdr:colOff>754320</xdr:colOff>
      <xdr:row>68</xdr:row>
      <xdr:rowOff>43908</xdr:rowOff>
    </xdr:to>
    <xdr:graphicFrame macro="">
      <xdr:nvGraphicFramePr>
        <xdr:cNvPr id="2" name="Graphique 1">
          <a:extLst>
            <a:ext uri="{FF2B5EF4-FFF2-40B4-BE49-F238E27FC236}">
              <a16:creationId xmlns:a16="http://schemas.microsoft.com/office/drawing/2014/main" id="{9EF2ABB1-3674-4285-B205-040020691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999565</xdr:colOff>
      <xdr:row>53</xdr:row>
      <xdr:rowOff>62753</xdr:rowOff>
    </xdr:from>
    <xdr:to>
      <xdr:col>15</xdr:col>
      <xdr:colOff>721660</xdr:colOff>
      <xdr:row>68</xdr:row>
      <xdr:rowOff>116541</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AA16D836-9AB7-4F91-9044-1B2B87C3EC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096065" y="9755393"/>
              <a:ext cx="1512795" cy="279698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11</xdr:col>
      <xdr:colOff>859971</xdr:colOff>
      <xdr:row>175</xdr:row>
      <xdr:rowOff>141515</xdr:rowOff>
    </xdr:from>
    <xdr:to>
      <xdr:col>14</xdr:col>
      <xdr:colOff>239485</xdr:colOff>
      <xdr:row>195</xdr:row>
      <xdr:rowOff>76201</xdr:rowOff>
    </xdr:to>
    <xdr:graphicFrame macro="">
      <xdr:nvGraphicFramePr>
        <xdr:cNvPr id="4" name="Graphique 3">
          <a:extLst>
            <a:ext uri="{FF2B5EF4-FFF2-40B4-BE49-F238E27FC236}">
              <a16:creationId xmlns:a16="http://schemas.microsoft.com/office/drawing/2014/main" id="{FA2BA02F-F4D7-4FE0-A4E7-72A997D1A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129702</xdr:colOff>
      <xdr:row>114</xdr:row>
      <xdr:rowOff>168613</xdr:rowOff>
    </xdr:from>
    <xdr:to>
      <xdr:col>15</xdr:col>
      <xdr:colOff>259405</xdr:colOff>
      <xdr:row>129</xdr:row>
      <xdr:rowOff>115111</xdr:rowOff>
    </xdr:to>
    <xdr:graphicFrame macro="">
      <xdr:nvGraphicFramePr>
        <xdr:cNvPr id="5" name="Graphique 4">
          <a:extLst>
            <a:ext uri="{FF2B5EF4-FFF2-40B4-BE49-F238E27FC236}">
              <a16:creationId xmlns:a16="http://schemas.microsoft.com/office/drawing/2014/main" id="{0AFE760F-2575-42AF-8E1C-87B6AACB0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26895</xdr:rowOff>
    </xdr:from>
    <xdr:to>
      <xdr:col>3</xdr:col>
      <xdr:colOff>0</xdr:colOff>
      <xdr:row>24</xdr:row>
      <xdr:rowOff>26894</xdr:rowOff>
    </xdr:to>
    <xdr:graphicFrame macro="">
      <xdr:nvGraphicFramePr>
        <xdr:cNvPr id="2" name="Graphique 1">
          <a:extLst>
            <a:ext uri="{FF2B5EF4-FFF2-40B4-BE49-F238E27FC236}">
              <a16:creationId xmlns:a16="http://schemas.microsoft.com/office/drawing/2014/main" id="{0346B272-C71D-4380-9C22-5F8AD29F2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24849</xdr:rowOff>
    </xdr:from>
    <xdr:to>
      <xdr:col>5</xdr:col>
      <xdr:colOff>16565</xdr:colOff>
      <xdr:row>51</xdr:row>
      <xdr:rowOff>149087</xdr:rowOff>
    </xdr:to>
    <xdr:graphicFrame macro="">
      <xdr:nvGraphicFramePr>
        <xdr:cNvPr id="4" name="Graphique 3">
          <a:extLst>
            <a:ext uri="{FF2B5EF4-FFF2-40B4-BE49-F238E27FC236}">
              <a16:creationId xmlns:a16="http://schemas.microsoft.com/office/drawing/2014/main" id="{0F067ED6-B29B-4604-B837-87FE9BD86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115957</xdr:colOff>
      <xdr:row>24</xdr:row>
      <xdr:rowOff>1</xdr:rowOff>
    </xdr:from>
    <xdr:to>
      <xdr:col>6</xdr:col>
      <xdr:colOff>778567</xdr:colOff>
      <xdr:row>35</xdr:row>
      <xdr:rowOff>124242</xdr:rowOff>
    </xdr:to>
    <xdr:graphicFrame macro="">
      <xdr:nvGraphicFramePr>
        <xdr:cNvPr id="5" name="Graphique 4">
          <a:extLst>
            <a:ext uri="{FF2B5EF4-FFF2-40B4-BE49-F238E27FC236}">
              <a16:creationId xmlns:a16="http://schemas.microsoft.com/office/drawing/2014/main" id="{3EDEF4A9-8917-4E71-8462-C10FE93B9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xdr:row>
      <xdr:rowOff>7851</xdr:rowOff>
    </xdr:from>
    <xdr:to>
      <xdr:col>5</xdr:col>
      <xdr:colOff>495106</xdr:colOff>
      <xdr:row>4</xdr:row>
      <xdr:rowOff>174061</xdr:rowOff>
    </xdr:to>
    <xdr:sp macro="" textlink="">
      <xdr:nvSpPr>
        <xdr:cNvPr id="6" name="ZoneTexte 5">
          <a:extLst>
            <a:ext uri="{FF2B5EF4-FFF2-40B4-BE49-F238E27FC236}">
              <a16:creationId xmlns:a16="http://schemas.microsoft.com/office/drawing/2014/main" id="{A4A0803E-46D5-4CA1-BE36-BF2669BAF043}"/>
            </a:ext>
          </a:extLst>
        </xdr:cNvPr>
        <xdr:cNvSpPr txBox="1"/>
      </xdr:nvSpPr>
      <xdr:spPr>
        <a:xfrm>
          <a:off x="792480" y="373611"/>
          <a:ext cx="3665026" cy="53197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t>Information</a:t>
          </a:r>
          <a:r>
            <a:rPr lang="fr-FR" sz="1400" b="1" baseline="0"/>
            <a:t>s sur le prix le nombre</a:t>
          </a:r>
        </a:p>
        <a:p>
          <a:pPr algn="ctr"/>
          <a:r>
            <a:rPr lang="fr-FR" sz="1400" b="1" baseline="0"/>
            <a:t> de clients / commandes </a:t>
          </a:r>
          <a:endParaRPr lang="fr-FR" sz="1400" b="1"/>
        </a:p>
      </xdr:txBody>
    </xdr:sp>
    <xdr:clientData/>
  </xdr:twoCellAnchor>
  <xdr:oneCellAnchor>
    <xdr:from>
      <xdr:col>0</xdr:col>
      <xdr:colOff>11605</xdr:colOff>
      <xdr:row>2</xdr:row>
      <xdr:rowOff>1020</xdr:rowOff>
    </xdr:from>
    <xdr:ext cx="1157620" cy="746433"/>
    <xdr:pic>
      <xdr:nvPicPr>
        <xdr:cNvPr id="7" name="Image 6">
          <a:extLst>
            <a:ext uri="{FF2B5EF4-FFF2-40B4-BE49-F238E27FC236}">
              <a16:creationId xmlns:a16="http://schemas.microsoft.com/office/drawing/2014/main" id="{360BA8D4-80A7-472B-93EF-09042DDAFFB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605" y="366780"/>
          <a:ext cx="1157620" cy="746433"/>
        </a:xfrm>
        <a:prstGeom prst="rect">
          <a:avLst/>
        </a:prstGeom>
      </xdr:spPr>
    </xdr:pic>
    <xdr:clientData/>
  </xdr:oneCellAnchor>
  <xdr:oneCellAnchor>
    <xdr:from>
      <xdr:col>5</xdr:col>
      <xdr:colOff>506783</xdr:colOff>
      <xdr:row>1</xdr:row>
      <xdr:rowOff>177030</xdr:rowOff>
    </xdr:from>
    <xdr:ext cx="1108367" cy="1068003"/>
    <xdr:pic>
      <xdr:nvPicPr>
        <xdr:cNvPr id="8" name="Image 7">
          <a:extLst>
            <a:ext uri="{FF2B5EF4-FFF2-40B4-BE49-F238E27FC236}">
              <a16:creationId xmlns:a16="http://schemas.microsoft.com/office/drawing/2014/main" id="{74D40823-34B6-4E83-A1D0-9DA375B28A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69183" y="359910"/>
          <a:ext cx="1108367" cy="1068003"/>
        </a:xfrm>
        <a:prstGeom prst="rect">
          <a:avLst/>
        </a:prstGeom>
      </xdr:spPr>
    </xdr:pic>
    <xdr:clientData/>
  </xdr:oneCellAnchor>
  <xdr:twoCellAnchor>
    <xdr:from>
      <xdr:col>5</xdr:col>
      <xdr:colOff>351650</xdr:colOff>
      <xdr:row>7</xdr:row>
      <xdr:rowOff>126970</xdr:rowOff>
    </xdr:from>
    <xdr:to>
      <xdr:col>7</xdr:col>
      <xdr:colOff>100062</xdr:colOff>
      <xdr:row>9</xdr:row>
      <xdr:rowOff>4291</xdr:rowOff>
    </xdr:to>
    <xdr:sp macro="" textlink="">
      <xdr:nvSpPr>
        <xdr:cNvPr id="9" name="ZoneTexte 8">
          <a:extLst>
            <a:ext uri="{FF2B5EF4-FFF2-40B4-BE49-F238E27FC236}">
              <a16:creationId xmlns:a16="http://schemas.microsoft.com/office/drawing/2014/main" id="{A1C5D188-7F9A-4D09-8C90-B4FDADCC9EAF}"/>
            </a:ext>
          </a:extLst>
        </xdr:cNvPr>
        <xdr:cNvSpPr txBox="1"/>
      </xdr:nvSpPr>
      <xdr:spPr>
        <a:xfrm>
          <a:off x="4314050" y="1407130"/>
          <a:ext cx="1333372" cy="2430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a:latin typeface="Harlow Solid Italic" panose="04030604020F02020D02" pitchFamily="82" charset="0"/>
            </a:rPr>
            <a:t>By Jojo</a:t>
          </a:r>
          <a:r>
            <a:rPr lang="fr-FR" sz="1100" baseline="0">
              <a:latin typeface="Harlow Solid Italic" panose="04030604020F02020D02" pitchFamily="82" charset="0"/>
            </a:rPr>
            <a:t> &amp; Alix</a:t>
          </a:r>
          <a:endParaRPr lang="fr-FR" sz="1100">
            <a:latin typeface="Harlow Solid Italic" panose="04030604020F02020D02" pitchFamily="82" charset="0"/>
          </a:endParaRPr>
        </a:p>
      </xdr:txBody>
    </xdr:sp>
    <xdr:clientData/>
  </xdr:twoCellAnchor>
  <xdr:twoCellAnchor>
    <xdr:from>
      <xdr:col>3</xdr:col>
      <xdr:colOff>3076</xdr:colOff>
      <xdr:row>5</xdr:row>
      <xdr:rowOff>2039</xdr:rowOff>
    </xdr:from>
    <xdr:to>
      <xdr:col>5</xdr:col>
      <xdr:colOff>496956</xdr:colOff>
      <xdr:row>13</xdr:row>
      <xdr:rowOff>173935</xdr:rowOff>
    </xdr:to>
    <xdr:sp macro="" textlink="">
      <xdr:nvSpPr>
        <xdr:cNvPr id="10" name="ZoneTexte 9">
          <a:extLst>
            <a:ext uri="{FF2B5EF4-FFF2-40B4-BE49-F238E27FC236}">
              <a16:creationId xmlns:a16="http://schemas.microsoft.com/office/drawing/2014/main" id="{56A5D94F-00E5-436D-BF4B-E4332A7166D7}"/>
            </a:ext>
          </a:extLst>
        </xdr:cNvPr>
        <xdr:cNvSpPr txBox="1"/>
      </xdr:nvSpPr>
      <xdr:spPr>
        <a:xfrm>
          <a:off x="2380516" y="916439"/>
          <a:ext cx="2078840" cy="163493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kern="1200"/>
            <a:t>Le</a:t>
          </a:r>
          <a:r>
            <a:rPr lang="fr-FR" sz="1100" kern="1200" baseline="0"/>
            <a:t> tableau a gauche résume les informations concernant les prix moyens qu'ont payer les clients ainsi que les prix payer par commande. Cela permet aussi de savoir quels sont les plus gros clients de l'entreprise.</a:t>
          </a:r>
          <a:endParaRPr lang="fr-FR" sz="1100" kern="1200"/>
        </a:p>
      </xdr:txBody>
    </xdr:sp>
    <xdr:clientData/>
  </xdr:twoCellAnchor>
  <xdr:twoCellAnchor>
    <xdr:from>
      <xdr:col>0</xdr:col>
      <xdr:colOff>0</xdr:colOff>
      <xdr:row>24</xdr:row>
      <xdr:rowOff>31474</xdr:rowOff>
    </xdr:from>
    <xdr:to>
      <xdr:col>2</xdr:col>
      <xdr:colOff>919368</xdr:colOff>
      <xdr:row>27</xdr:row>
      <xdr:rowOff>99391</xdr:rowOff>
    </xdr:to>
    <xdr:sp macro="" textlink="">
      <xdr:nvSpPr>
        <xdr:cNvPr id="11" name="ZoneTexte 10">
          <a:extLst>
            <a:ext uri="{FF2B5EF4-FFF2-40B4-BE49-F238E27FC236}">
              <a16:creationId xmlns:a16="http://schemas.microsoft.com/office/drawing/2014/main" id="{8F215D08-04CF-485A-BF9E-26022D81D16E}"/>
            </a:ext>
          </a:extLst>
        </xdr:cNvPr>
        <xdr:cNvSpPr txBox="1"/>
      </xdr:nvSpPr>
      <xdr:spPr>
        <a:xfrm>
          <a:off x="0" y="4420594"/>
          <a:ext cx="2374788" cy="61655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solidFill>
                <a:schemeClr val="dk1"/>
              </a:solidFill>
              <a:effectLst/>
              <a:latin typeface="+mn-lt"/>
              <a:ea typeface="+mn-ea"/>
              <a:cs typeface="+mn-cs"/>
            </a:rPr>
            <a:t> Les graphiques ci-dessus nous montre que malgrès une majorité de comandes entre 5 € et 15 € certaines atteignent des sommets. </a:t>
          </a:r>
          <a:endParaRPr lang="fr-FR" sz="1100" kern="1200"/>
        </a:p>
      </xdr:txBody>
    </xdr:sp>
    <xdr:clientData/>
  </xdr:twoCellAnchor>
  <xdr:oneCellAnchor>
    <xdr:from>
      <xdr:col>8</xdr:col>
      <xdr:colOff>215348</xdr:colOff>
      <xdr:row>16</xdr:row>
      <xdr:rowOff>16565</xdr:rowOff>
    </xdr:from>
    <xdr:ext cx="184731" cy="264560"/>
    <xdr:sp macro="" textlink="">
      <xdr:nvSpPr>
        <xdr:cNvPr id="12" name="ZoneTexte 11">
          <a:extLst>
            <a:ext uri="{FF2B5EF4-FFF2-40B4-BE49-F238E27FC236}">
              <a16:creationId xmlns:a16="http://schemas.microsoft.com/office/drawing/2014/main" id="{989DC53E-D58D-4A99-B4B5-DEFB57972B96}"/>
            </a:ext>
          </a:extLst>
        </xdr:cNvPr>
        <xdr:cNvSpPr txBox="1"/>
      </xdr:nvSpPr>
      <xdr:spPr>
        <a:xfrm>
          <a:off x="6555188" y="294264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kern="1200"/>
        </a:p>
      </xdr:txBody>
    </xdr:sp>
    <xdr:clientData/>
  </xdr:oneCellAnchor>
  <xdr:twoCellAnchor>
    <xdr:from>
      <xdr:col>0</xdr:col>
      <xdr:colOff>0</xdr:colOff>
      <xdr:row>27</xdr:row>
      <xdr:rowOff>173934</xdr:rowOff>
    </xdr:from>
    <xdr:to>
      <xdr:col>3</xdr:col>
      <xdr:colOff>82826</xdr:colOff>
      <xdr:row>29</xdr:row>
      <xdr:rowOff>124241</xdr:rowOff>
    </xdr:to>
    <xdr:sp macro="" textlink="">
      <xdr:nvSpPr>
        <xdr:cNvPr id="13" name="ZoneTexte 12">
          <a:extLst>
            <a:ext uri="{FF2B5EF4-FFF2-40B4-BE49-F238E27FC236}">
              <a16:creationId xmlns:a16="http://schemas.microsoft.com/office/drawing/2014/main" id="{7F5DC88B-8355-4097-B5D6-1C2182F272F6}"/>
            </a:ext>
          </a:extLst>
        </xdr:cNvPr>
        <xdr:cNvSpPr txBox="1"/>
      </xdr:nvSpPr>
      <xdr:spPr>
        <a:xfrm>
          <a:off x="0" y="5111694"/>
          <a:ext cx="2460266" cy="31606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kern="1200"/>
            <a:t>Tableau du</a:t>
          </a:r>
          <a:r>
            <a:rPr lang="fr-FR" sz="1100" kern="1200" baseline="0"/>
            <a:t> nombre de commandes par clients</a:t>
          </a:r>
          <a:endParaRPr lang="fr-FR" sz="1100" kern="1200"/>
        </a:p>
      </xdr:txBody>
    </xdr:sp>
    <xdr:clientData/>
  </xdr:twoCellAnchor>
  <xdr:oneCellAnchor>
    <xdr:from>
      <xdr:col>6</xdr:col>
      <xdr:colOff>149087</xdr:colOff>
      <xdr:row>31</xdr:row>
      <xdr:rowOff>66261</xdr:rowOff>
    </xdr:from>
    <xdr:ext cx="184731" cy="264560"/>
    <xdr:sp macro="" textlink="">
      <xdr:nvSpPr>
        <xdr:cNvPr id="14" name="ZoneTexte 13">
          <a:extLst>
            <a:ext uri="{FF2B5EF4-FFF2-40B4-BE49-F238E27FC236}">
              <a16:creationId xmlns:a16="http://schemas.microsoft.com/office/drawing/2014/main" id="{488F2C4B-2AA7-4D4B-8FEA-2045A854C56C}"/>
            </a:ext>
          </a:extLst>
        </xdr:cNvPr>
        <xdr:cNvSpPr txBox="1"/>
      </xdr:nvSpPr>
      <xdr:spPr>
        <a:xfrm>
          <a:off x="4903967" y="57355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kern="1200"/>
        </a:p>
      </xdr:txBody>
    </xdr:sp>
    <xdr:clientData/>
  </xdr:oneCellAnchor>
  <xdr:twoCellAnchor>
    <xdr:from>
      <xdr:col>5</xdr:col>
      <xdr:colOff>64603</xdr:colOff>
      <xdr:row>35</xdr:row>
      <xdr:rowOff>163994</xdr:rowOff>
    </xdr:from>
    <xdr:to>
      <xdr:col>7</xdr:col>
      <xdr:colOff>0</xdr:colOff>
      <xdr:row>51</xdr:row>
      <xdr:rowOff>157369</xdr:rowOff>
    </xdr:to>
    <xdr:sp macro="" textlink="">
      <xdr:nvSpPr>
        <xdr:cNvPr id="15" name="ZoneTexte 14">
          <a:extLst>
            <a:ext uri="{FF2B5EF4-FFF2-40B4-BE49-F238E27FC236}">
              <a16:creationId xmlns:a16="http://schemas.microsoft.com/office/drawing/2014/main" id="{1571167F-9C81-45EA-BC28-D7DB81B84C25}"/>
            </a:ext>
          </a:extLst>
        </xdr:cNvPr>
        <xdr:cNvSpPr txBox="1"/>
      </xdr:nvSpPr>
      <xdr:spPr>
        <a:xfrm>
          <a:off x="4027003" y="6564794"/>
          <a:ext cx="1520357" cy="291945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kern="1200"/>
            <a:t>Grâce à ces deux graphiques</a:t>
          </a:r>
          <a:r>
            <a:rPr lang="fr-FR" sz="1100" kern="1200" baseline="0"/>
            <a:t> on peut  analyser la fidélité des clients au travers du nombre de fois qu'ils ont commander. On vois que la plupart des gens reviennent 4 fois avec un pic à 23 clients. On voit aussi que plus de la moitiée des clients reviennent  moins de 5 fois.</a:t>
          </a:r>
          <a:endParaRPr lang="fr-FR" sz="1100" kern="1200"/>
        </a:p>
      </xdr:txBody>
    </xdr:sp>
    <xdr:clientData/>
  </xdr:twoCellAnchor>
  <xdr:oneCellAnchor>
    <xdr:from>
      <xdr:col>4</xdr:col>
      <xdr:colOff>405848</xdr:colOff>
      <xdr:row>31</xdr:row>
      <xdr:rowOff>41413</xdr:rowOff>
    </xdr:from>
    <xdr:ext cx="184731" cy="264560"/>
    <xdr:sp macro="" textlink="">
      <xdr:nvSpPr>
        <xdr:cNvPr id="16" name="ZoneTexte 15">
          <a:extLst>
            <a:ext uri="{FF2B5EF4-FFF2-40B4-BE49-F238E27FC236}">
              <a16:creationId xmlns:a16="http://schemas.microsoft.com/office/drawing/2014/main" id="{D9E31B72-00B3-4D9C-A058-784871191F7F}"/>
            </a:ext>
          </a:extLst>
        </xdr:cNvPr>
        <xdr:cNvSpPr txBox="1"/>
      </xdr:nvSpPr>
      <xdr:spPr>
        <a:xfrm>
          <a:off x="3575768" y="57106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kern="1200"/>
        </a:p>
      </xdr:txBody>
    </xdr:sp>
    <xdr:clientData/>
  </xdr:oneCellAnchor>
  <xdr:twoCellAnchor>
    <xdr:from>
      <xdr:col>3</xdr:col>
      <xdr:colOff>40095</xdr:colOff>
      <xdr:row>14</xdr:row>
      <xdr:rowOff>1385</xdr:rowOff>
    </xdr:from>
    <xdr:to>
      <xdr:col>6</xdr:col>
      <xdr:colOff>792808</xdr:colOff>
      <xdr:row>24</xdr:row>
      <xdr:rowOff>32998</xdr:rowOff>
    </xdr:to>
    <mc:AlternateContent xmlns:mc="http://schemas.openxmlformats.org/markup-compatibility/2006">
      <mc:Choice xmlns:cx1="http://schemas.microsoft.com/office/drawing/2015/9/8/chartex" Requires="cx1">
        <xdr:graphicFrame macro="">
          <xdr:nvGraphicFramePr>
            <xdr:cNvPr id="17" name="Graphique 16">
              <a:extLst>
                <a:ext uri="{FF2B5EF4-FFF2-40B4-BE49-F238E27FC236}">
                  <a16:creationId xmlns:a16="http://schemas.microsoft.com/office/drawing/2014/main" id="{81D232E9-935A-4213-869C-E7579B2005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799459" y="2587567"/>
              <a:ext cx="3188804" cy="187888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nat\Downloads\jo.xlsx" TargetMode="External"/><Relationship Id="rId1" Type="http://schemas.openxmlformats.org/officeDocument/2006/relationships/externalLinkPath" Target="j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1_Data"/>
      <sheetName val="FR1"/>
      <sheetName val="FR2_Data"/>
      <sheetName val="FR2"/>
      <sheetName val="FR3_Data"/>
      <sheetName val="FR3"/>
    </sheetNames>
    <sheetDataSet>
      <sheetData sheetId="0"/>
      <sheetData sheetId="1"/>
      <sheetData sheetId="2"/>
      <sheetData sheetId="3"/>
      <sheetData sheetId="4">
        <row r="1">
          <cell r="D1" t="str">
            <v>TOTAL_Commande</v>
          </cell>
        </row>
        <row r="2">
          <cell r="D2">
            <v>22.2</v>
          </cell>
        </row>
        <row r="3">
          <cell r="D3">
            <v>8</v>
          </cell>
        </row>
        <row r="4">
          <cell r="D4">
            <v>7.4</v>
          </cell>
        </row>
        <row r="5">
          <cell r="D5">
            <v>8</v>
          </cell>
        </row>
        <row r="6">
          <cell r="D6">
            <v>18.399999999999999</v>
          </cell>
        </row>
        <row r="7">
          <cell r="D7">
            <v>38.5</v>
          </cell>
        </row>
        <row r="8">
          <cell r="D8">
            <v>12</v>
          </cell>
        </row>
        <row r="9">
          <cell r="D9">
            <v>12.8</v>
          </cell>
        </row>
        <row r="10">
          <cell r="D10">
            <v>22.7</v>
          </cell>
        </row>
        <row r="11">
          <cell r="D11">
            <v>5.3</v>
          </cell>
        </row>
        <row r="12">
          <cell r="D12">
            <v>15.5</v>
          </cell>
        </row>
        <row r="13">
          <cell r="D13">
            <v>25.5</v>
          </cell>
        </row>
        <row r="14">
          <cell r="D14">
            <v>10.4</v>
          </cell>
        </row>
        <row r="15">
          <cell r="D15">
            <v>7.5</v>
          </cell>
        </row>
        <row r="16">
          <cell r="D16">
            <v>7.7</v>
          </cell>
        </row>
        <row r="17">
          <cell r="D17">
            <v>7.5</v>
          </cell>
        </row>
        <row r="18">
          <cell r="D18">
            <v>15.6</v>
          </cell>
        </row>
        <row r="19">
          <cell r="D19">
            <v>9.3000000000000007</v>
          </cell>
        </row>
        <row r="20">
          <cell r="D20">
            <v>9.6</v>
          </cell>
        </row>
        <row r="21">
          <cell r="D21">
            <v>7.5</v>
          </cell>
        </row>
        <row r="22">
          <cell r="D22">
            <v>19.2</v>
          </cell>
        </row>
        <row r="23">
          <cell r="D23">
            <v>5.2</v>
          </cell>
        </row>
        <row r="24">
          <cell r="D24">
            <v>6.5</v>
          </cell>
        </row>
        <row r="25">
          <cell r="D25">
            <v>13.9</v>
          </cell>
        </row>
        <row r="26">
          <cell r="D26">
            <v>9.9</v>
          </cell>
        </row>
        <row r="27">
          <cell r="D27">
            <v>8</v>
          </cell>
        </row>
        <row r="28">
          <cell r="D28">
            <v>30</v>
          </cell>
        </row>
        <row r="29">
          <cell r="D29">
            <v>7.5</v>
          </cell>
        </row>
        <row r="30">
          <cell r="D30">
            <v>5.3</v>
          </cell>
        </row>
        <row r="31">
          <cell r="D31">
            <v>7.5</v>
          </cell>
        </row>
        <row r="32">
          <cell r="D32">
            <v>15.4</v>
          </cell>
        </row>
        <row r="33">
          <cell r="D33">
            <v>12.8</v>
          </cell>
        </row>
        <row r="34">
          <cell r="D34">
            <v>5.2</v>
          </cell>
        </row>
        <row r="35">
          <cell r="D35">
            <v>28.7</v>
          </cell>
        </row>
        <row r="36">
          <cell r="D36">
            <v>5.3</v>
          </cell>
        </row>
        <row r="37">
          <cell r="D37">
            <v>6.8</v>
          </cell>
        </row>
        <row r="38">
          <cell r="D38">
            <v>6.8</v>
          </cell>
        </row>
        <row r="39">
          <cell r="D39">
            <v>7.6</v>
          </cell>
        </row>
        <row r="40">
          <cell r="D40">
            <v>5.2</v>
          </cell>
        </row>
        <row r="41">
          <cell r="D41">
            <v>22.7</v>
          </cell>
        </row>
        <row r="42">
          <cell r="D42">
            <v>9.6</v>
          </cell>
        </row>
        <row r="43">
          <cell r="D43">
            <v>10.1</v>
          </cell>
        </row>
        <row r="44">
          <cell r="D44">
            <v>7.5</v>
          </cell>
        </row>
        <row r="45">
          <cell r="D45">
            <v>25.2</v>
          </cell>
        </row>
        <row r="46">
          <cell r="D46">
            <v>12.7</v>
          </cell>
        </row>
        <row r="47">
          <cell r="D47">
            <v>15</v>
          </cell>
        </row>
        <row r="48">
          <cell r="D48">
            <v>10.6</v>
          </cell>
        </row>
        <row r="49">
          <cell r="D49">
            <v>10.6</v>
          </cell>
        </row>
        <row r="50">
          <cell r="D50">
            <v>7.7</v>
          </cell>
        </row>
        <row r="51">
          <cell r="D51">
            <v>4.8</v>
          </cell>
        </row>
        <row r="52">
          <cell r="D52">
            <v>7.5</v>
          </cell>
        </row>
        <row r="53">
          <cell r="D53">
            <v>10.4</v>
          </cell>
        </row>
        <row r="54">
          <cell r="D54">
            <v>29.6</v>
          </cell>
        </row>
        <row r="55">
          <cell r="D55">
            <v>10.1</v>
          </cell>
        </row>
        <row r="56">
          <cell r="D56">
            <v>15.2</v>
          </cell>
        </row>
        <row r="57">
          <cell r="D57">
            <v>17.3</v>
          </cell>
        </row>
        <row r="58">
          <cell r="D58">
            <v>20</v>
          </cell>
        </row>
        <row r="59">
          <cell r="D59">
            <v>9.6</v>
          </cell>
        </row>
        <row r="60">
          <cell r="D60">
            <v>5.3</v>
          </cell>
        </row>
        <row r="61">
          <cell r="D61">
            <v>5.3</v>
          </cell>
        </row>
        <row r="62">
          <cell r="D62">
            <v>5.3</v>
          </cell>
        </row>
        <row r="63">
          <cell r="D63">
            <v>8.1999999999999993</v>
          </cell>
        </row>
        <row r="64">
          <cell r="D64">
            <v>7.5</v>
          </cell>
        </row>
        <row r="65">
          <cell r="D65">
            <v>5.0999999999999996</v>
          </cell>
        </row>
        <row r="66">
          <cell r="D66">
            <v>4.9000000000000004</v>
          </cell>
        </row>
        <row r="67">
          <cell r="D67">
            <v>15.9</v>
          </cell>
        </row>
        <row r="68">
          <cell r="D68">
            <v>5.3</v>
          </cell>
        </row>
        <row r="69">
          <cell r="D69">
            <v>9.6</v>
          </cell>
        </row>
        <row r="70">
          <cell r="D70">
            <v>7.5</v>
          </cell>
        </row>
        <row r="71">
          <cell r="D71">
            <v>20.399999999999999</v>
          </cell>
        </row>
        <row r="72">
          <cell r="D72">
            <v>20.6</v>
          </cell>
        </row>
        <row r="73">
          <cell r="D73">
            <v>7.6</v>
          </cell>
        </row>
        <row r="74">
          <cell r="D74">
            <v>5.3</v>
          </cell>
        </row>
        <row r="75">
          <cell r="D75">
            <v>15.2</v>
          </cell>
        </row>
        <row r="76">
          <cell r="D76">
            <v>21.1</v>
          </cell>
        </row>
        <row r="77">
          <cell r="D77">
            <v>4.8</v>
          </cell>
        </row>
        <row r="78">
          <cell r="D78">
            <v>6.8</v>
          </cell>
        </row>
        <row r="79">
          <cell r="D79">
            <v>4.2</v>
          </cell>
        </row>
        <row r="80">
          <cell r="D80">
            <v>7.7</v>
          </cell>
        </row>
        <row r="81">
          <cell r="D81">
            <v>15</v>
          </cell>
        </row>
        <row r="82">
          <cell r="D82">
            <v>5.2</v>
          </cell>
        </row>
        <row r="83">
          <cell r="D83">
            <v>10.6</v>
          </cell>
        </row>
        <row r="84">
          <cell r="D84">
            <v>10.199999999999999</v>
          </cell>
        </row>
        <row r="85">
          <cell r="D85">
            <v>7.7</v>
          </cell>
        </row>
        <row r="86">
          <cell r="D86">
            <v>10.4</v>
          </cell>
        </row>
        <row r="87">
          <cell r="D87">
            <v>4.2</v>
          </cell>
        </row>
        <row r="88">
          <cell r="D88">
            <v>9.6</v>
          </cell>
        </row>
        <row r="89">
          <cell r="D89">
            <v>4.0999999999999996</v>
          </cell>
        </row>
        <row r="90">
          <cell r="D90">
            <v>5.2</v>
          </cell>
        </row>
        <row r="91">
          <cell r="D91">
            <v>10.4</v>
          </cell>
        </row>
        <row r="92">
          <cell r="D92">
            <v>15.9</v>
          </cell>
        </row>
        <row r="93">
          <cell r="D93">
            <v>5.3</v>
          </cell>
        </row>
        <row r="94">
          <cell r="D94">
            <v>20.3</v>
          </cell>
        </row>
        <row r="95">
          <cell r="D95">
            <v>4.9000000000000004</v>
          </cell>
        </row>
        <row r="96">
          <cell r="D96">
            <v>14.8</v>
          </cell>
        </row>
        <row r="97">
          <cell r="D97">
            <v>69.2</v>
          </cell>
        </row>
        <row r="98">
          <cell r="D98">
            <v>7.5</v>
          </cell>
        </row>
        <row r="99">
          <cell r="D99">
            <v>21</v>
          </cell>
        </row>
        <row r="100">
          <cell r="D100">
            <v>12.5</v>
          </cell>
        </row>
        <row r="101">
          <cell r="D101">
            <v>14.9</v>
          </cell>
        </row>
        <row r="102">
          <cell r="D102">
            <v>10.4</v>
          </cell>
        </row>
        <row r="103">
          <cell r="D103">
            <v>10.5</v>
          </cell>
        </row>
        <row r="104">
          <cell r="D104">
            <v>5.3</v>
          </cell>
        </row>
        <row r="105">
          <cell r="D105">
            <v>7.5</v>
          </cell>
        </row>
        <row r="106">
          <cell r="D106">
            <v>18.899999999999999</v>
          </cell>
        </row>
        <row r="107">
          <cell r="D107">
            <v>5.3</v>
          </cell>
        </row>
        <row r="108">
          <cell r="D108">
            <v>5.2</v>
          </cell>
        </row>
        <row r="109">
          <cell r="D109">
            <v>15</v>
          </cell>
        </row>
        <row r="110">
          <cell r="D110">
            <v>13</v>
          </cell>
        </row>
        <row r="111">
          <cell r="D111">
            <v>9.4</v>
          </cell>
        </row>
        <row r="112">
          <cell r="D112">
            <v>10.6</v>
          </cell>
        </row>
        <row r="113">
          <cell r="D113">
            <v>30</v>
          </cell>
        </row>
        <row r="114">
          <cell r="D114">
            <v>26.8</v>
          </cell>
        </row>
        <row r="115">
          <cell r="D115">
            <v>10.4</v>
          </cell>
        </row>
        <row r="116">
          <cell r="D116">
            <v>7.5</v>
          </cell>
        </row>
        <row r="117">
          <cell r="D117">
            <v>7.7</v>
          </cell>
        </row>
        <row r="118">
          <cell r="D118">
            <v>5.2</v>
          </cell>
        </row>
        <row r="119">
          <cell r="D119">
            <v>7.6</v>
          </cell>
        </row>
        <row r="120">
          <cell r="D120">
            <v>3</v>
          </cell>
        </row>
        <row r="121">
          <cell r="D121">
            <v>15</v>
          </cell>
        </row>
        <row r="122">
          <cell r="D122">
            <v>12.3</v>
          </cell>
        </row>
        <row r="123">
          <cell r="D123">
            <v>7.4</v>
          </cell>
        </row>
        <row r="124">
          <cell r="D124">
            <v>5.0999999999999996</v>
          </cell>
        </row>
        <row r="125">
          <cell r="D125">
            <v>10.3</v>
          </cell>
        </row>
        <row r="126">
          <cell r="D126">
            <v>17.100000000000001</v>
          </cell>
        </row>
        <row r="127">
          <cell r="D127">
            <v>5.3</v>
          </cell>
        </row>
        <row r="128">
          <cell r="D128">
            <v>11.7</v>
          </cell>
        </row>
        <row r="129">
          <cell r="D129">
            <v>4.0999999999999996</v>
          </cell>
        </row>
        <row r="130">
          <cell r="D130">
            <v>7.6</v>
          </cell>
        </row>
        <row r="131">
          <cell r="D131">
            <v>17.2</v>
          </cell>
        </row>
        <row r="132">
          <cell r="D132">
            <v>5.2</v>
          </cell>
        </row>
        <row r="133">
          <cell r="D133">
            <v>5.0999999999999996</v>
          </cell>
        </row>
        <row r="134">
          <cell r="D134">
            <v>13.9</v>
          </cell>
        </row>
        <row r="135">
          <cell r="D135">
            <v>15.6</v>
          </cell>
        </row>
        <row r="136">
          <cell r="D136">
            <v>9.8000000000000007</v>
          </cell>
        </row>
        <row r="137">
          <cell r="D137">
            <v>15</v>
          </cell>
        </row>
        <row r="138">
          <cell r="D138">
            <v>15</v>
          </cell>
        </row>
        <row r="139">
          <cell r="D139">
            <v>10.6</v>
          </cell>
        </row>
        <row r="140">
          <cell r="D140">
            <v>5.3</v>
          </cell>
        </row>
        <row r="141">
          <cell r="D141">
            <v>15.6</v>
          </cell>
        </row>
        <row r="142">
          <cell r="D142">
            <v>5.2</v>
          </cell>
        </row>
        <row r="143">
          <cell r="D143">
            <v>5.2</v>
          </cell>
        </row>
        <row r="144">
          <cell r="D144">
            <v>8</v>
          </cell>
        </row>
        <row r="145">
          <cell r="D145">
            <v>5.2</v>
          </cell>
        </row>
        <row r="146">
          <cell r="D146">
            <v>6.8</v>
          </cell>
        </row>
        <row r="147">
          <cell r="D147">
            <v>20.399999999999999</v>
          </cell>
        </row>
        <row r="148">
          <cell r="D148">
            <v>7.4</v>
          </cell>
        </row>
        <row r="149">
          <cell r="D149">
            <v>4.9000000000000004</v>
          </cell>
        </row>
        <row r="150">
          <cell r="D150">
            <v>5.2</v>
          </cell>
        </row>
        <row r="151">
          <cell r="D151">
            <v>5.0999999999999996</v>
          </cell>
        </row>
        <row r="152">
          <cell r="D152">
            <v>15.2</v>
          </cell>
        </row>
        <row r="153">
          <cell r="D153">
            <v>5.2</v>
          </cell>
        </row>
        <row r="154">
          <cell r="D154">
            <v>13</v>
          </cell>
        </row>
        <row r="155">
          <cell r="D155">
            <v>9.6</v>
          </cell>
        </row>
        <row r="156">
          <cell r="D156">
            <v>5.2</v>
          </cell>
        </row>
        <row r="157">
          <cell r="D157">
            <v>10.6</v>
          </cell>
        </row>
        <row r="158">
          <cell r="D158">
            <v>5.2</v>
          </cell>
        </row>
        <row r="159">
          <cell r="D159">
            <v>7.5</v>
          </cell>
        </row>
        <row r="160">
          <cell r="D160">
            <v>7.4</v>
          </cell>
        </row>
        <row r="161">
          <cell r="D161">
            <v>10.199999999999999</v>
          </cell>
        </row>
        <row r="162">
          <cell r="D162">
            <v>10.1</v>
          </cell>
        </row>
        <row r="163">
          <cell r="D163">
            <v>5.0999999999999996</v>
          </cell>
        </row>
        <row r="164">
          <cell r="D164">
            <v>4.9000000000000004</v>
          </cell>
        </row>
        <row r="165">
          <cell r="D165">
            <v>7.5</v>
          </cell>
        </row>
        <row r="166">
          <cell r="D166">
            <v>4.9000000000000004</v>
          </cell>
        </row>
        <row r="167">
          <cell r="D167">
            <v>19.2</v>
          </cell>
        </row>
        <row r="168">
          <cell r="D168">
            <v>18</v>
          </cell>
        </row>
        <row r="169">
          <cell r="D169">
            <v>5.3</v>
          </cell>
        </row>
        <row r="170">
          <cell r="D170">
            <v>4.7</v>
          </cell>
        </row>
        <row r="171">
          <cell r="D171">
            <v>11.7</v>
          </cell>
        </row>
        <row r="172">
          <cell r="D172">
            <v>20.5</v>
          </cell>
        </row>
        <row r="173">
          <cell r="D173">
            <v>13.5</v>
          </cell>
        </row>
        <row r="174">
          <cell r="D174">
            <v>7.5</v>
          </cell>
        </row>
        <row r="175">
          <cell r="D175">
            <v>5.3</v>
          </cell>
        </row>
        <row r="176">
          <cell r="D176">
            <v>10.6</v>
          </cell>
        </row>
        <row r="177">
          <cell r="D177">
            <v>7.6</v>
          </cell>
        </row>
        <row r="178">
          <cell r="D178">
            <v>12.8</v>
          </cell>
        </row>
        <row r="179">
          <cell r="D179">
            <v>5.3</v>
          </cell>
        </row>
        <row r="180">
          <cell r="D180">
            <v>7.4</v>
          </cell>
        </row>
        <row r="181">
          <cell r="D181">
            <v>11.8</v>
          </cell>
        </row>
        <row r="182">
          <cell r="D182">
            <v>18.100000000000001</v>
          </cell>
        </row>
        <row r="183">
          <cell r="D183">
            <v>20.3</v>
          </cell>
        </row>
        <row r="184">
          <cell r="D184">
            <v>5.3</v>
          </cell>
        </row>
        <row r="185">
          <cell r="D185">
            <v>4.2</v>
          </cell>
        </row>
        <row r="186">
          <cell r="D186">
            <v>9.6</v>
          </cell>
        </row>
        <row r="187">
          <cell r="D187">
            <v>15</v>
          </cell>
        </row>
        <row r="188">
          <cell r="D188">
            <v>6.8</v>
          </cell>
        </row>
        <row r="189">
          <cell r="D189">
            <v>4.8</v>
          </cell>
        </row>
        <row r="190">
          <cell r="D190">
            <v>7.8</v>
          </cell>
        </row>
        <row r="191">
          <cell r="D191">
            <v>9.9</v>
          </cell>
        </row>
        <row r="192">
          <cell r="D192">
            <v>12.7</v>
          </cell>
        </row>
        <row r="193">
          <cell r="D193">
            <v>4.8</v>
          </cell>
        </row>
        <row r="194">
          <cell r="D194">
            <v>6.8</v>
          </cell>
        </row>
        <row r="195">
          <cell r="D195">
            <v>7.5</v>
          </cell>
        </row>
        <row r="196">
          <cell r="D196">
            <v>7.6</v>
          </cell>
        </row>
        <row r="197">
          <cell r="D197">
            <v>7.7</v>
          </cell>
        </row>
        <row r="198">
          <cell r="D198">
            <v>7.7</v>
          </cell>
        </row>
        <row r="199">
          <cell r="D199">
            <v>7.7</v>
          </cell>
        </row>
        <row r="200">
          <cell r="D200">
            <v>9.6</v>
          </cell>
        </row>
        <row r="201">
          <cell r="D201">
            <v>7.5</v>
          </cell>
        </row>
        <row r="202">
          <cell r="D202">
            <v>4.9000000000000004</v>
          </cell>
        </row>
        <row r="203">
          <cell r="D203">
            <v>8.1999999999999993</v>
          </cell>
        </row>
        <row r="204">
          <cell r="D204">
            <v>7.7</v>
          </cell>
        </row>
        <row r="205">
          <cell r="D205">
            <v>7.5</v>
          </cell>
        </row>
        <row r="206">
          <cell r="D206">
            <v>5.3</v>
          </cell>
        </row>
        <row r="207">
          <cell r="D207">
            <v>10.4</v>
          </cell>
        </row>
        <row r="208">
          <cell r="D208">
            <v>22.2</v>
          </cell>
        </row>
        <row r="209">
          <cell r="D209">
            <v>14.8</v>
          </cell>
        </row>
        <row r="210">
          <cell r="D210">
            <v>15.9</v>
          </cell>
        </row>
        <row r="211">
          <cell r="D211">
            <v>5.3</v>
          </cell>
        </row>
        <row r="212">
          <cell r="D212">
            <v>10.4</v>
          </cell>
        </row>
        <row r="213">
          <cell r="D213">
            <v>22.5</v>
          </cell>
        </row>
        <row r="214">
          <cell r="D214">
            <v>5.2</v>
          </cell>
        </row>
        <row r="215">
          <cell r="D215">
            <v>6.8</v>
          </cell>
        </row>
        <row r="216">
          <cell r="D216">
            <v>5.2</v>
          </cell>
        </row>
        <row r="217">
          <cell r="D217">
            <v>10.6</v>
          </cell>
        </row>
        <row r="218">
          <cell r="D218">
            <v>7.4</v>
          </cell>
        </row>
        <row r="219">
          <cell r="D219">
            <v>5.2</v>
          </cell>
        </row>
        <row r="220">
          <cell r="D220">
            <v>10.6</v>
          </cell>
        </row>
        <row r="221">
          <cell r="D221">
            <v>12.8</v>
          </cell>
        </row>
        <row r="222">
          <cell r="D222">
            <v>4.0999999999999996</v>
          </cell>
        </row>
        <row r="223">
          <cell r="D223">
            <v>7.7</v>
          </cell>
        </row>
        <row r="224">
          <cell r="D224">
            <v>6.8</v>
          </cell>
        </row>
        <row r="225">
          <cell r="D225">
            <v>10.4</v>
          </cell>
        </row>
        <row r="226">
          <cell r="D226">
            <v>7.4</v>
          </cell>
        </row>
        <row r="227">
          <cell r="D227">
            <v>15.7</v>
          </cell>
        </row>
        <row r="228">
          <cell r="D228">
            <v>22.1</v>
          </cell>
        </row>
        <row r="229">
          <cell r="D229">
            <v>5.2</v>
          </cell>
        </row>
        <row r="230">
          <cell r="D230">
            <v>5.3</v>
          </cell>
        </row>
        <row r="231">
          <cell r="D231">
            <v>13</v>
          </cell>
        </row>
        <row r="232">
          <cell r="D232">
            <v>9.8000000000000007</v>
          </cell>
        </row>
        <row r="233">
          <cell r="D233">
            <v>10.6</v>
          </cell>
        </row>
        <row r="234">
          <cell r="D234">
            <v>24.9</v>
          </cell>
        </row>
        <row r="235">
          <cell r="D235">
            <v>7.5</v>
          </cell>
        </row>
        <row r="236">
          <cell r="D236">
            <v>15</v>
          </cell>
        </row>
        <row r="237">
          <cell r="D237">
            <v>5.3</v>
          </cell>
        </row>
        <row r="238">
          <cell r="D238">
            <v>17.8</v>
          </cell>
        </row>
        <row r="239">
          <cell r="D239">
            <v>7.5</v>
          </cell>
        </row>
        <row r="240">
          <cell r="D240">
            <v>13.6</v>
          </cell>
        </row>
        <row r="241">
          <cell r="D241">
            <v>5.3</v>
          </cell>
        </row>
        <row r="242">
          <cell r="D242">
            <v>5.2</v>
          </cell>
        </row>
        <row r="243">
          <cell r="D243">
            <v>10.4</v>
          </cell>
        </row>
        <row r="244">
          <cell r="D244">
            <v>10.1</v>
          </cell>
        </row>
        <row r="245">
          <cell r="D245">
            <v>6.7</v>
          </cell>
        </row>
        <row r="246">
          <cell r="D246">
            <v>13.3</v>
          </cell>
        </row>
        <row r="247">
          <cell r="D247">
            <v>5.2</v>
          </cell>
        </row>
        <row r="248">
          <cell r="D248">
            <v>5.3</v>
          </cell>
        </row>
        <row r="249">
          <cell r="D249">
            <v>7.5</v>
          </cell>
        </row>
        <row r="250">
          <cell r="D250">
            <v>7.7</v>
          </cell>
        </row>
        <row r="251">
          <cell r="D251">
            <v>6.5</v>
          </cell>
        </row>
        <row r="252">
          <cell r="D252">
            <v>14.8</v>
          </cell>
        </row>
        <row r="253">
          <cell r="D253">
            <v>6.7</v>
          </cell>
        </row>
        <row r="254">
          <cell r="D254">
            <v>12</v>
          </cell>
        </row>
        <row r="255">
          <cell r="D255">
            <v>12</v>
          </cell>
        </row>
        <row r="256">
          <cell r="D256">
            <v>5.3</v>
          </cell>
        </row>
        <row r="257">
          <cell r="D257">
            <v>12.7</v>
          </cell>
        </row>
        <row r="258">
          <cell r="D258">
            <v>5.2</v>
          </cell>
        </row>
        <row r="259">
          <cell r="D259">
            <v>15</v>
          </cell>
        </row>
        <row r="260">
          <cell r="D260">
            <v>10.4</v>
          </cell>
        </row>
        <row r="261">
          <cell r="D261">
            <v>5.2</v>
          </cell>
        </row>
        <row r="262">
          <cell r="D262">
            <v>15.3</v>
          </cell>
        </row>
        <row r="263">
          <cell r="D263">
            <v>11.5</v>
          </cell>
        </row>
        <row r="264">
          <cell r="D264">
            <v>13.3</v>
          </cell>
        </row>
        <row r="265">
          <cell r="D265">
            <v>4.0999999999999996</v>
          </cell>
        </row>
        <row r="266">
          <cell r="D266">
            <v>9.6</v>
          </cell>
        </row>
        <row r="267">
          <cell r="D267">
            <v>7.5</v>
          </cell>
        </row>
        <row r="268">
          <cell r="D268">
            <v>20.6</v>
          </cell>
        </row>
        <row r="269">
          <cell r="D269">
            <v>9.8000000000000007</v>
          </cell>
        </row>
        <row r="270">
          <cell r="D270">
            <v>7.7</v>
          </cell>
        </row>
        <row r="271">
          <cell r="D271">
            <v>5.3</v>
          </cell>
        </row>
        <row r="272">
          <cell r="D272">
            <v>10.6</v>
          </cell>
        </row>
        <row r="273">
          <cell r="D273">
            <v>4.9000000000000004</v>
          </cell>
        </row>
        <row r="274">
          <cell r="D274">
            <v>13</v>
          </cell>
        </row>
        <row r="275">
          <cell r="D275">
            <v>31.8</v>
          </cell>
        </row>
        <row r="276">
          <cell r="D276">
            <v>7.7</v>
          </cell>
        </row>
        <row r="277">
          <cell r="D277">
            <v>7.5</v>
          </cell>
        </row>
        <row r="278">
          <cell r="D278">
            <v>5.0999999999999996</v>
          </cell>
        </row>
        <row r="279">
          <cell r="D279">
            <v>7.7</v>
          </cell>
        </row>
        <row r="280">
          <cell r="D280">
            <v>4</v>
          </cell>
        </row>
        <row r="281">
          <cell r="D281">
            <v>19.5</v>
          </cell>
        </row>
        <row r="282">
          <cell r="D282">
            <v>7.4</v>
          </cell>
        </row>
        <row r="283">
          <cell r="D283">
            <v>15.4</v>
          </cell>
        </row>
        <row r="284">
          <cell r="D284">
            <v>4.8</v>
          </cell>
        </row>
        <row r="285">
          <cell r="D285">
            <v>10.6</v>
          </cell>
        </row>
        <row r="286">
          <cell r="D286">
            <v>6.8</v>
          </cell>
        </row>
        <row r="287">
          <cell r="D287">
            <v>7.4</v>
          </cell>
        </row>
        <row r="288">
          <cell r="D288">
            <v>15.6</v>
          </cell>
        </row>
        <row r="289">
          <cell r="D289">
            <v>17.3</v>
          </cell>
        </row>
        <row r="290">
          <cell r="D290">
            <v>15.5</v>
          </cell>
        </row>
        <row r="291">
          <cell r="D291">
            <v>9.1999999999999993</v>
          </cell>
        </row>
        <row r="292">
          <cell r="D292">
            <v>15</v>
          </cell>
        </row>
        <row r="293">
          <cell r="D293">
            <v>7.6</v>
          </cell>
        </row>
        <row r="294">
          <cell r="D294">
            <v>13.4</v>
          </cell>
        </row>
        <row r="295">
          <cell r="D295">
            <v>9.6</v>
          </cell>
        </row>
        <row r="296">
          <cell r="D296">
            <v>10.199999999999999</v>
          </cell>
        </row>
        <row r="297">
          <cell r="D297">
            <v>20.399999999999999</v>
          </cell>
        </row>
        <row r="298">
          <cell r="D298">
            <v>7.5</v>
          </cell>
        </row>
        <row r="299">
          <cell r="D299">
            <v>7.7</v>
          </cell>
        </row>
        <row r="300">
          <cell r="D300">
            <v>10.6</v>
          </cell>
        </row>
        <row r="301">
          <cell r="D301">
            <v>9.4</v>
          </cell>
        </row>
        <row r="302">
          <cell r="D302">
            <v>10.4</v>
          </cell>
        </row>
        <row r="303">
          <cell r="D303">
            <v>15</v>
          </cell>
        </row>
        <row r="304">
          <cell r="D304">
            <v>7.4</v>
          </cell>
        </row>
        <row r="305">
          <cell r="D305">
            <v>18.7</v>
          </cell>
        </row>
        <row r="306">
          <cell r="D306">
            <v>15.2</v>
          </cell>
        </row>
        <row r="307">
          <cell r="D307">
            <v>5.3</v>
          </cell>
        </row>
        <row r="308">
          <cell r="D308">
            <v>9.6</v>
          </cell>
        </row>
        <row r="309">
          <cell r="D309">
            <v>7.5</v>
          </cell>
        </row>
        <row r="310">
          <cell r="D310">
            <v>5.3</v>
          </cell>
        </row>
        <row r="311">
          <cell r="D311">
            <v>5.3</v>
          </cell>
        </row>
        <row r="312">
          <cell r="D312">
            <v>7.4</v>
          </cell>
        </row>
        <row r="313">
          <cell r="D313">
            <v>4.9000000000000004</v>
          </cell>
        </row>
        <row r="314">
          <cell r="D314">
            <v>8.1999999999999993</v>
          </cell>
        </row>
        <row r="315">
          <cell r="D315">
            <v>25.5</v>
          </cell>
        </row>
        <row r="316">
          <cell r="D316">
            <v>12.8</v>
          </cell>
        </row>
        <row r="317">
          <cell r="D317">
            <v>9.9</v>
          </cell>
        </row>
        <row r="318">
          <cell r="D318">
            <v>7.5</v>
          </cell>
        </row>
        <row r="319">
          <cell r="D319">
            <v>7.6</v>
          </cell>
        </row>
        <row r="320">
          <cell r="D320">
            <v>5.0999999999999996</v>
          </cell>
        </row>
        <row r="321">
          <cell r="D321">
            <v>29.4</v>
          </cell>
        </row>
        <row r="322">
          <cell r="D322">
            <v>5.3</v>
          </cell>
        </row>
        <row r="323">
          <cell r="D323">
            <v>32.799999999999997</v>
          </cell>
        </row>
        <row r="324">
          <cell r="D324">
            <v>15.2</v>
          </cell>
        </row>
        <row r="325">
          <cell r="D325">
            <v>21.7</v>
          </cell>
        </row>
        <row r="326">
          <cell r="D326">
            <v>5.3</v>
          </cell>
        </row>
        <row r="327">
          <cell r="D327">
            <v>9.6</v>
          </cell>
        </row>
        <row r="328">
          <cell r="D328">
            <v>6.8</v>
          </cell>
        </row>
        <row r="329">
          <cell r="D329">
            <v>7.6</v>
          </cell>
        </row>
        <row r="330">
          <cell r="D330">
            <v>5.2</v>
          </cell>
        </row>
        <row r="331">
          <cell r="D331">
            <v>7.5</v>
          </cell>
        </row>
        <row r="332">
          <cell r="D332">
            <v>25.4</v>
          </cell>
        </row>
        <row r="333">
          <cell r="D333">
            <v>16.3</v>
          </cell>
        </row>
        <row r="334">
          <cell r="D334">
            <v>15.4</v>
          </cell>
        </row>
        <row r="335">
          <cell r="D335">
            <v>4.8</v>
          </cell>
        </row>
        <row r="336">
          <cell r="D336">
            <v>5.3</v>
          </cell>
        </row>
        <row r="337">
          <cell r="D337">
            <v>14.8</v>
          </cell>
        </row>
        <row r="338">
          <cell r="D338">
            <v>9.6</v>
          </cell>
        </row>
        <row r="339">
          <cell r="D339">
            <v>17.3</v>
          </cell>
        </row>
        <row r="340">
          <cell r="D340">
            <v>4</v>
          </cell>
        </row>
        <row r="341">
          <cell r="D341">
            <v>13.9</v>
          </cell>
        </row>
        <row r="342">
          <cell r="D342">
            <v>14.8</v>
          </cell>
        </row>
        <row r="343">
          <cell r="D343">
            <v>8.1999999999999993</v>
          </cell>
        </row>
        <row r="344">
          <cell r="D344">
            <v>8.9</v>
          </cell>
        </row>
        <row r="345">
          <cell r="D345">
            <v>7.6</v>
          </cell>
        </row>
        <row r="346">
          <cell r="D346">
            <v>9.9</v>
          </cell>
        </row>
        <row r="347">
          <cell r="D347">
            <v>9.8000000000000007</v>
          </cell>
        </row>
        <row r="348">
          <cell r="D348">
            <v>8</v>
          </cell>
        </row>
        <row r="349">
          <cell r="D349">
            <v>10.199999999999999</v>
          </cell>
        </row>
        <row r="350">
          <cell r="D350">
            <v>7.5</v>
          </cell>
        </row>
        <row r="351">
          <cell r="D351">
            <v>15.5</v>
          </cell>
        </row>
        <row r="352">
          <cell r="D352">
            <v>23.1</v>
          </cell>
        </row>
        <row r="353">
          <cell r="D353">
            <v>5.3</v>
          </cell>
        </row>
        <row r="354">
          <cell r="D354">
            <v>23.6</v>
          </cell>
        </row>
        <row r="355">
          <cell r="D355">
            <v>6.8</v>
          </cell>
        </row>
        <row r="356">
          <cell r="D356">
            <v>12.8</v>
          </cell>
        </row>
        <row r="357">
          <cell r="D357">
            <v>10.4</v>
          </cell>
        </row>
        <row r="358">
          <cell r="D358">
            <v>7.7</v>
          </cell>
        </row>
        <row r="359">
          <cell r="D359">
            <v>7.6</v>
          </cell>
        </row>
        <row r="360">
          <cell r="D360">
            <v>9.4</v>
          </cell>
        </row>
        <row r="361">
          <cell r="D361">
            <v>5.3</v>
          </cell>
        </row>
        <row r="362">
          <cell r="D362">
            <v>22.5</v>
          </cell>
        </row>
        <row r="363">
          <cell r="D363">
            <v>10.1</v>
          </cell>
        </row>
        <row r="364">
          <cell r="D364">
            <v>4.9000000000000004</v>
          </cell>
        </row>
        <row r="365">
          <cell r="D365">
            <v>12.3</v>
          </cell>
        </row>
        <row r="366">
          <cell r="D366">
            <v>5.3</v>
          </cell>
        </row>
        <row r="367">
          <cell r="D367">
            <v>18.7</v>
          </cell>
        </row>
        <row r="368">
          <cell r="D368">
            <v>5.3</v>
          </cell>
        </row>
        <row r="369">
          <cell r="D369">
            <v>26.5</v>
          </cell>
        </row>
        <row r="370">
          <cell r="D370">
            <v>10.4</v>
          </cell>
        </row>
        <row r="371">
          <cell r="D371">
            <v>20.399999999999999</v>
          </cell>
        </row>
        <row r="372">
          <cell r="D372">
            <v>5.3</v>
          </cell>
        </row>
        <row r="373">
          <cell r="D373">
            <v>5.3</v>
          </cell>
        </row>
        <row r="374">
          <cell r="D374">
            <v>7.7</v>
          </cell>
        </row>
        <row r="375">
          <cell r="D375">
            <v>7.5</v>
          </cell>
        </row>
        <row r="376">
          <cell r="D376">
            <v>15</v>
          </cell>
        </row>
        <row r="377">
          <cell r="D377">
            <v>29.6</v>
          </cell>
        </row>
        <row r="378">
          <cell r="D378">
            <v>5.0999999999999996</v>
          </cell>
        </row>
        <row r="379">
          <cell r="D379">
            <v>7.7</v>
          </cell>
        </row>
        <row r="380">
          <cell r="D380">
            <v>15.6</v>
          </cell>
        </row>
        <row r="381">
          <cell r="D381">
            <v>5.3</v>
          </cell>
        </row>
        <row r="382">
          <cell r="D382">
            <v>6.8</v>
          </cell>
        </row>
        <row r="383">
          <cell r="D383">
            <v>6.8</v>
          </cell>
        </row>
        <row r="384">
          <cell r="D384">
            <v>15.6</v>
          </cell>
        </row>
        <row r="385">
          <cell r="D385">
            <v>4.0999999999999996</v>
          </cell>
        </row>
        <row r="386">
          <cell r="D386">
            <v>4.8</v>
          </cell>
        </row>
        <row r="387">
          <cell r="D387">
            <v>19.2</v>
          </cell>
        </row>
        <row r="388">
          <cell r="D388">
            <v>15</v>
          </cell>
        </row>
        <row r="389">
          <cell r="D389">
            <v>7.4</v>
          </cell>
        </row>
        <row r="390">
          <cell r="D390">
            <v>15.9</v>
          </cell>
        </row>
        <row r="391">
          <cell r="D391">
            <v>7.5</v>
          </cell>
        </row>
        <row r="392">
          <cell r="D392">
            <v>5.3</v>
          </cell>
        </row>
        <row r="393">
          <cell r="D393">
            <v>4.2</v>
          </cell>
        </row>
        <row r="394">
          <cell r="D394">
            <v>4.0999999999999996</v>
          </cell>
        </row>
        <row r="395">
          <cell r="D395">
            <v>15.4</v>
          </cell>
        </row>
        <row r="396">
          <cell r="D396">
            <v>5.2</v>
          </cell>
        </row>
        <row r="397">
          <cell r="D397">
            <v>8.9</v>
          </cell>
        </row>
        <row r="398">
          <cell r="D398">
            <v>21.2</v>
          </cell>
        </row>
        <row r="399">
          <cell r="D399">
            <v>9.8000000000000007</v>
          </cell>
        </row>
        <row r="400">
          <cell r="D400">
            <v>10.199999999999999</v>
          </cell>
        </row>
        <row r="401">
          <cell r="D401">
            <v>30.2</v>
          </cell>
        </row>
        <row r="402">
          <cell r="D402">
            <v>6.8</v>
          </cell>
        </row>
        <row r="403">
          <cell r="D403">
            <v>6.8</v>
          </cell>
        </row>
        <row r="404">
          <cell r="D404">
            <v>5.2</v>
          </cell>
        </row>
        <row r="405">
          <cell r="D405">
            <v>15</v>
          </cell>
        </row>
        <row r="406">
          <cell r="D406">
            <v>7.4</v>
          </cell>
        </row>
        <row r="407">
          <cell r="D407">
            <v>4.9000000000000004</v>
          </cell>
        </row>
        <row r="408">
          <cell r="D408">
            <v>16.8</v>
          </cell>
        </row>
        <row r="409">
          <cell r="D409">
            <v>21.2</v>
          </cell>
        </row>
        <row r="410">
          <cell r="D410">
            <v>19.8</v>
          </cell>
        </row>
        <row r="411">
          <cell r="D411">
            <v>7.9</v>
          </cell>
        </row>
        <row r="412">
          <cell r="D412">
            <v>10.6</v>
          </cell>
        </row>
        <row r="413">
          <cell r="D413">
            <v>4.8</v>
          </cell>
        </row>
        <row r="414">
          <cell r="D414">
            <v>18.3</v>
          </cell>
        </row>
        <row r="415">
          <cell r="D415">
            <v>7.5</v>
          </cell>
        </row>
        <row r="416">
          <cell r="D416">
            <v>5.0999999999999996</v>
          </cell>
        </row>
        <row r="417">
          <cell r="D417">
            <v>10.4</v>
          </cell>
        </row>
        <row r="418">
          <cell r="D418">
            <v>7.7</v>
          </cell>
        </row>
        <row r="419">
          <cell r="D419">
            <v>18.8</v>
          </cell>
        </row>
        <row r="420">
          <cell r="D420">
            <v>25.2</v>
          </cell>
        </row>
        <row r="421">
          <cell r="D421">
            <v>5.3</v>
          </cell>
        </row>
        <row r="422">
          <cell r="D422">
            <v>10.6</v>
          </cell>
        </row>
        <row r="423">
          <cell r="D423">
            <v>10.6</v>
          </cell>
        </row>
        <row r="424">
          <cell r="D424">
            <v>5.2</v>
          </cell>
        </row>
        <row r="425">
          <cell r="D425">
            <v>15</v>
          </cell>
        </row>
        <row r="426">
          <cell r="D426">
            <v>12.6</v>
          </cell>
        </row>
        <row r="427">
          <cell r="D427">
            <v>33.1</v>
          </cell>
        </row>
        <row r="428">
          <cell r="D428">
            <v>15.2</v>
          </cell>
        </row>
        <row r="429">
          <cell r="D429">
            <v>22</v>
          </cell>
        </row>
        <row r="430">
          <cell r="D430">
            <v>5.3</v>
          </cell>
        </row>
        <row r="431">
          <cell r="D431">
            <v>7.5</v>
          </cell>
        </row>
        <row r="432">
          <cell r="D432">
            <v>7.5</v>
          </cell>
        </row>
        <row r="433">
          <cell r="D433">
            <v>12</v>
          </cell>
        </row>
        <row r="434">
          <cell r="D434">
            <v>9.8000000000000007</v>
          </cell>
        </row>
        <row r="435">
          <cell r="D435">
            <v>10.1</v>
          </cell>
        </row>
        <row r="436">
          <cell r="D436">
            <v>12.8</v>
          </cell>
        </row>
        <row r="437">
          <cell r="D437">
            <v>10.4</v>
          </cell>
        </row>
        <row r="438">
          <cell r="D438">
            <v>7.7</v>
          </cell>
        </row>
        <row r="439">
          <cell r="D439">
            <v>6.8</v>
          </cell>
        </row>
        <row r="440">
          <cell r="D440">
            <v>17.7</v>
          </cell>
        </row>
        <row r="441">
          <cell r="D441">
            <v>10.4</v>
          </cell>
        </row>
        <row r="442">
          <cell r="D442">
            <v>10.3</v>
          </cell>
        </row>
        <row r="443">
          <cell r="D443">
            <v>4.8</v>
          </cell>
        </row>
        <row r="444">
          <cell r="D444">
            <v>18.2</v>
          </cell>
        </row>
        <row r="445">
          <cell r="D445">
            <v>7.7</v>
          </cell>
        </row>
        <row r="446">
          <cell r="D446">
            <v>4.8</v>
          </cell>
        </row>
        <row r="447">
          <cell r="D447">
            <v>7.7</v>
          </cell>
        </row>
        <row r="448">
          <cell r="D448">
            <v>14.8</v>
          </cell>
        </row>
        <row r="449">
          <cell r="D449">
            <v>17.3</v>
          </cell>
        </row>
        <row r="450">
          <cell r="D450">
            <v>7.5</v>
          </cell>
        </row>
        <row r="451">
          <cell r="D451">
            <v>5.2</v>
          </cell>
        </row>
        <row r="452">
          <cell r="D452">
            <v>18.100000000000001</v>
          </cell>
        </row>
        <row r="453">
          <cell r="D453">
            <v>9.6</v>
          </cell>
        </row>
        <row r="454">
          <cell r="D454">
            <v>27.3</v>
          </cell>
        </row>
        <row r="455">
          <cell r="D455">
            <v>15.3</v>
          </cell>
        </row>
        <row r="456">
          <cell r="D456">
            <v>5.2</v>
          </cell>
        </row>
        <row r="457">
          <cell r="D457">
            <v>7.7</v>
          </cell>
        </row>
        <row r="458">
          <cell r="D458">
            <v>9.4</v>
          </cell>
        </row>
        <row r="459">
          <cell r="D459">
            <v>7.5</v>
          </cell>
        </row>
        <row r="460">
          <cell r="D460">
            <v>5.3</v>
          </cell>
        </row>
        <row r="461">
          <cell r="D461">
            <v>15</v>
          </cell>
        </row>
        <row r="462">
          <cell r="D462">
            <v>13.9</v>
          </cell>
        </row>
        <row r="463">
          <cell r="D463">
            <v>10.3</v>
          </cell>
        </row>
        <row r="464">
          <cell r="D464">
            <v>25.2</v>
          </cell>
        </row>
        <row r="465">
          <cell r="D465">
            <v>17.600000000000001</v>
          </cell>
        </row>
        <row r="466">
          <cell r="D466">
            <v>20.5</v>
          </cell>
        </row>
        <row r="467">
          <cell r="D467">
            <v>10.6</v>
          </cell>
        </row>
        <row r="468">
          <cell r="D468">
            <v>7.6</v>
          </cell>
        </row>
        <row r="469">
          <cell r="D469">
            <v>5.2</v>
          </cell>
        </row>
        <row r="470">
          <cell r="D470">
            <v>5.3</v>
          </cell>
        </row>
        <row r="471">
          <cell r="D471">
            <v>13.6</v>
          </cell>
        </row>
        <row r="472">
          <cell r="D472">
            <v>12.1</v>
          </cell>
        </row>
        <row r="473">
          <cell r="D473">
            <v>5.2</v>
          </cell>
        </row>
        <row r="474">
          <cell r="D474">
            <v>9.4</v>
          </cell>
        </row>
        <row r="475">
          <cell r="D475">
            <v>12</v>
          </cell>
        </row>
        <row r="476">
          <cell r="D476">
            <v>7.7</v>
          </cell>
        </row>
        <row r="477">
          <cell r="D477">
            <v>7.5</v>
          </cell>
        </row>
        <row r="478">
          <cell r="D478">
            <v>7.4</v>
          </cell>
        </row>
        <row r="479">
          <cell r="D479">
            <v>12.3</v>
          </cell>
        </row>
        <row r="480">
          <cell r="D480">
            <v>19.100000000000001</v>
          </cell>
        </row>
        <row r="481">
          <cell r="D481">
            <v>7.5</v>
          </cell>
        </row>
        <row r="482">
          <cell r="D482">
            <v>7.4</v>
          </cell>
        </row>
        <row r="483">
          <cell r="D483">
            <v>4.0999999999999996</v>
          </cell>
        </row>
        <row r="484">
          <cell r="D484">
            <v>4.7</v>
          </cell>
        </row>
        <row r="485">
          <cell r="D485">
            <v>5.2</v>
          </cell>
        </row>
        <row r="486">
          <cell r="D486">
            <v>7.4</v>
          </cell>
        </row>
        <row r="487">
          <cell r="D487">
            <v>9.8000000000000007</v>
          </cell>
        </row>
        <row r="488">
          <cell r="D488">
            <v>7.6</v>
          </cell>
        </row>
        <row r="489">
          <cell r="D489">
            <v>12.6</v>
          </cell>
        </row>
        <row r="490">
          <cell r="D490">
            <v>10</v>
          </cell>
        </row>
        <row r="491">
          <cell r="D491">
            <v>7.7</v>
          </cell>
        </row>
        <row r="492">
          <cell r="D492">
            <v>7.7</v>
          </cell>
        </row>
        <row r="493">
          <cell r="D493">
            <v>7.5</v>
          </cell>
        </row>
        <row r="494">
          <cell r="D494">
            <v>10.4</v>
          </cell>
        </row>
        <row r="495">
          <cell r="D495">
            <v>10.5</v>
          </cell>
        </row>
        <row r="496">
          <cell r="D496">
            <v>18.100000000000001</v>
          </cell>
        </row>
        <row r="497">
          <cell r="D497">
            <v>14.8</v>
          </cell>
        </row>
        <row r="498">
          <cell r="D498">
            <v>6.8</v>
          </cell>
        </row>
        <row r="499">
          <cell r="D499">
            <v>4.2</v>
          </cell>
        </row>
        <row r="500">
          <cell r="D500">
            <v>5.2</v>
          </cell>
        </row>
        <row r="501">
          <cell r="D501">
            <v>6.5</v>
          </cell>
        </row>
        <row r="502">
          <cell r="D502">
            <v>5.2</v>
          </cell>
        </row>
        <row r="503">
          <cell r="D503">
            <v>5.2</v>
          </cell>
        </row>
        <row r="504">
          <cell r="D504">
            <v>10.6</v>
          </cell>
        </row>
        <row r="505">
          <cell r="D505">
            <v>6.7</v>
          </cell>
        </row>
        <row r="506">
          <cell r="D506">
            <v>23.1</v>
          </cell>
        </row>
        <row r="507">
          <cell r="D507">
            <v>7.5</v>
          </cell>
        </row>
        <row r="508">
          <cell r="D508">
            <v>5.2</v>
          </cell>
        </row>
        <row r="509">
          <cell r="D509">
            <v>15.2</v>
          </cell>
        </row>
        <row r="510">
          <cell r="D510">
            <v>26.7</v>
          </cell>
        </row>
        <row r="511">
          <cell r="D511">
            <v>4</v>
          </cell>
        </row>
        <row r="512">
          <cell r="D512">
            <v>10.4</v>
          </cell>
        </row>
        <row r="513">
          <cell r="D513">
            <v>10.6</v>
          </cell>
        </row>
        <row r="514">
          <cell r="D514">
            <v>5.3</v>
          </cell>
        </row>
        <row r="515">
          <cell r="D515">
            <v>7.8</v>
          </cell>
        </row>
        <row r="516">
          <cell r="D516">
            <v>5.3</v>
          </cell>
        </row>
        <row r="517">
          <cell r="D517">
            <v>7.5</v>
          </cell>
        </row>
        <row r="518">
          <cell r="D518">
            <v>18.899999999999999</v>
          </cell>
        </row>
        <row r="519">
          <cell r="D519">
            <v>7.4</v>
          </cell>
        </row>
        <row r="520">
          <cell r="D520">
            <v>7.5</v>
          </cell>
        </row>
        <row r="521">
          <cell r="D521">
            <v>6.7</v>
          </cell>
        </row>
        <row r="522">
          <cell r="D522">
            <v>8.1999999999999993</v>
          </cell>
        </row>
        <row r="523">
          <cell r="D523">
            <v>5.2</v>
          </cell>
        </row>
        <row r="524">
          <cell r="D524">
            <v>11.6</v>
          </cell>
        </row>
        <row r="525">
          <cell r="D525">
            <v>5.3</v>
          </cell>
        </row>
        <row r="526">
          <cell r="D526">
            <v>7.7</v>
          </cell>
        </row>
        <row r="527">
          <cell r="D527">
            <v>5.0999999999999996</v>
          </cell>
        </row>
        <row r="528">
          <cell r="D528">
            <v>17.100000000000001</v>
          </cell>
        </row>
        <row r="529">
          <cell r="D529">
            <v>21.7</v>
          </cell>
        </row>
        <row r="530">
          <cell r="D530">
            <v>5.3</v>
          </cell>
        </row>
        <row r="531">
          <cell r="D531">
            <v>16.399999999999999</v>
          </cell>
        </row>
        <row r="532">
          <cell r="D532">
            <v>15</v>
          </cell>
        </row>
        <row r="533">
          <cell r="D533">
            <v>4.2</v>
          </cell>
        </row>
        <row r="534">
          <cell r="D534">
            <v>4.0999999999999996</v>
          </cell>
        </row>
        <row r="535">
          <cell r="D535">
            <v>5.2</v>
          </cell>
        </row>
        <row r="536">
          <cell r="D536">
            <v>10.4</v>
          </cell>
        </row>
        <row r="537">
          <cell r="D537">
            <v>5.3</v>
          </cell>
        </row>
        <row r="538">
          <cell r="D538">
            <v>6.8</v>
          </cell>
        </row>
        <row r="539">
          <cell r="D539">
            <v>9.4</v>
          </cell>
        </row>
        <row r="540">
          <cell r="D540">
            <v>7.5</v>
          </cell>
        </row>
        <row r="541">
          <cell r="D541">
            <v>10.4</v>
          </cell>
        </row>
        <row r="542">
          <cell r="D542">
            <v>7.5</v>
          </cell>
        </row>
        <row r="543">
          <cell r="D543">
            <v>27.8</v>
          </cell>
        </row>
        <row r="544">
          <cell r="D544">
            <v>20.2</v>
          </cell>
        </row>
        <row r="545">
          <cell r="D545">
            <v>7.5</v>
          </cell>
        </row>
        <row r="546">
          <cell r="D546">
            <v>5.2</v>
          </cell>
        </row>
        <row r="547">
          <cell r="D547">
            <v>4.8</v>
          </cell>
        </row>
        <row r="548">
          <cell r="D548">
            <v>17.899999999999999</v>
          </cell>
        </row>
        <row r="549">
          <cell r="D549">
            <v>31.6</v>
          </cell>
        </row>
        <row r="550">
          <cell r="D550">
            <v>8.1999999999999993</v>
          </cell>
        </row>
        <row r="551">
          <cell r="D551">
            <v>7.5</v>
          </cell>
        </row>
        <row r="552">
          <cell r="D552">
            <v>10.4</v>
          </cell>
        </row>
        <row r="553">
          <cell r="D553">
            <v>10.5</v>
          </cell>
        </row>
        <row r="554">
          <cell r="D554">
            <v>9.8000000000000007</v>
          </cell>
        </row>
        <row r="555">
          <cell r="D555">
            <v>15.4</v>
          </cell>
        </row>
        <row r="556">
          <cell r="D556">
            <v>7.5</v>
          </cell>
        </row>
        <row r="557">
          <cell r="D557">
            <v>5.3</v>
          </cell>
        </row>
        <row r="558">
          <cell r="D558">
            <v>6.5</v>
          </cell>
        </row>
        <row r="559">
          <cell r="D559">
            <v>15</v>
          </cell>
        </row>
        <row r="560">
          <cell r="D560">
            <v>5.0999999999999996</v>
          </cell>
        </row>
        <row r="561">
          <cell r="D561">
            <v>22.5</v>
          </cell>
        </row>
        <row r="562">
          <cell r="D562">
            <v>4</v>
          </cell>
        </row>
        <row r="563">
          <cell r="D563">
            <v>4.9000000000000004</v>
          </cell>
        </row>
        <row r="564">
          <cell r="D564">
            <v>10.3</v>
          </cell>
        </row>
        <row r="565">
          <cell r="D565">
            <v>20</v>
          </cell>
        </row>
        <row r="566">
          <cell r="D566">
            <v>15</v>
          </cell>
        </row>
        <row r="567">
          <cell r="D567">
            <v>7.5</v>
          </cell>
        </row>
        <row r="568">
          <cell r="D568">
            <v>25.4</v>
          </cell>
        </row>
        <row r="569">
          <cell r="D569">
            <v>15.7</v>
          </cell>
        </row>
        <row r="570">
          <cell r="D570">
            <v>15.9</v>
          </cell>
        </row>
        <row r="571">
          <cell r="D571">
            <v>13.6</v>
          </cell>
        </row>
        <row r="572">
          <cell r="D572">
            <v>10.6</v>
          </cell>
        </row>
        <row r="573">
          <cell r="D573">
            <v>9.6</v>
          </cell>
        </row>
        <row r="574">
          <cell r="D574">
            <v>7.5</v>
          </cell>
        </row>
        <row r="575">
          <cell r="D575">
            <v>10.4</v>
          </cell>
        </row>
        <row r="576">
          <cell r="D576">
            <v>13.5</v>
          </cell>
        </row>
        <row r="577">
          <cell r="D577">
            <v>7.7</v>
          </cell>
        </row>
        <row r="578">
          <cell r="D578">
            <v>10.1</v>
          </cell>
        </row>
        <row r="579">
          <cell r="D579">
            <v>5.2</v>
          </cell>
        </row>
        <row r="580">
          <cell r="D580">
            <v>11.7</v>
          </cell>
        </row>
        <row r="581">
          <cell r="D581">
            <v>13.6</v>
          </cell>
        </row>
        <row r="582">
          <cell r="D582">
            <v>7.4</v>
          </cell>
        </row>
        <row r="583">
          <cell r="D583">
            <v>15.2</v>
          </cell>
        </row>
        <row r="584">
          <cell r="D584">
            <v>12.8</v>
          </cell>
        </row>
        <row r="585">
          <cell r="D585">
            <v>15</v>
          </cell>
        </row>
        <row r="586">
          <cell r="D586">
            <v>7.4</v>
          </cell>
        </row>
        <row r="587">
          <cell r="D587">
            <v>17.8</v>
          </cell>
        </row>
        <row r="588">
          <cell r="D588">
            <v>7.5</v>
          </cell>
        </row>
        <row r="589">
          <cell r="D589">
            <v>5.2</v>
          </cell>
        </row>
        <row r="590">
          <cell r="D590">
            <v>4.9000000000000004</v>
          </cell>
        </row>
        <row r="591">
          <cell r="D591">
            <v>7.6</v>
          </cell>
        </row>
        <row r="592">
          <cell r="D592">
            <v>13.6</v>
          </cell>
        </row>
        <row r="593">
          <cell r="D593">
            <v>5.3</v>
          </cell>
        </row>
        <row r="594">
          <cell r="D594">
            <v>5.3</v>
          </cell>
        </row>
        <row r="595">
          <cell r="D595">
            <v>10.4</v>
          </cell>
        </row>
        <row r="596">
          <cell r="D596">
            <v>6.5</v>
          </cell>
        </row>
        <row r="597">
          <cell r="D597">
            <v>7.5</v>
          </cell>
        </row>
        <row r="598">
          <cell r="D598">
            <v>15.5</v>
          </cell>
        </row>
        <row r="599">
          <cell r="D599">
            <v>4.7</v>
          </cell>
        </row>
        <row r="600">
          <cell r="D600">
            <v>22.8</v>
          </cell>
        </row>
        <row r="601">
          <cell r="D601">
            <v>4.9000000000000004</v>
          </cell>
        </row>
        <row r="602">
          <cell r="D602">
            <v>7.5</v>
          </cell>
        </row>
        <row r="603">
          <cell r="D603">
            <v>15.2</v>
          </cell>
        </row>
        <row r="604">
          <cell r="D604">
            <v>13</v>
          </cell>
        </row>
        <row r="605">
          <cell r="D605">
            <v>5.2</v>
          </cell>
        </row>
        <row r="606">
          <cell r="D606">
            <v>14.1</v>
          </cell>
        </row>
        <row r="607">
          <cell r="D607">
            <v>10.4</v>
          </cell>
        </row>
        <row r="608">
          <cell r="D608">
            <v>13.9</v>
          </cell>
        </row>
        <row r="609">
          <cell r="D609">
            <v>18.2</v>
          </cell>
        </row>
        <row r="610">
          <cell r="D610">
            <v>19.5</v>
          </cell>
        </row>
        <row r="611">
          <cell r="D611">
            <v>5.2</v>
          </cell>
        </row>
        <row r="612">
          <cell r="D612">
            <v>7.5</v>
          </cell>
        </row>
        <row r="613">
          <cell r="D613">
            <v>6.7</v>
          </cell>
        </row>
        <row r="614">
          <cell r="D614">
            <v>20.100000000000001</v>
          </cell>
        </row>
        <row r="615">
          <cell r="D615">
            <v>9.8000000000000007</v>
          </cell>
        </row>
        <row r="616">
          <cell r="D616">
            <v>7.5</v>
          </cell>
        </row>
        <row r="617">
          <cell r="D617">
            <v>10</v>
          </cell>
        </row>
        <row r="618">
          <cell r="D618">
            <v>7.5</v>
          </cell>
        </row>
        <row r="619">
          <cell r="D619">
            <v>7.4</v>
          </cell>
        </row>
        <row r="620">
          <cell r="D620">
            <v>7.6</v>
          </cell>
        </row>
        <row r="621">
          <cell r="D621">
            <v>35.6</v>
          </cell>
        </row>
        <row r="622">
          <cell r="D622">
            <v>17.8</v>
          </cell>
        </row>
        <row r="623">
          <cell r="D623">
            <v>15.9</v>
          </cell>
        </row>
        <row r="624">
          <cell r="D624">
            <v>6.8</v>
          </cell>
        </row>
        <row r="625">
          <cell r="D625">
            <v>13.6</v>
          </cell>
        </row>
        <row r="626">
          <cell r="D626">
            <v>4.0999999999999996</v>
          </cell>
        </row>
        <row r="627">
          <cell r="D627">
            <v>22.8</v>
          </cell>
        </row>
        <row r="628">
          <cell r="D628">
            <v>13</v>
          </cell>
        </row>
        <row r="629">
          <cell r="D629">
            <v>5.2</v>
          </cell>
        </row>
        <row r="630">
          <cell r="D630">
            <v>15</v>
          </cell>
        </row>
        <row r="631">
          <cell r="D631">
            <v>14.8</v>
          </cell>
        </row>
        <row r="632">
          <cell r="D632">
            <v>7.7</v>
          </cell>
        </row>
        <row r="633">
          <cell r="D633">
            <v>15</v>
          </cell>
        </row>
        <row r="634">
          <cell r="D634">
            <v>15.2</v>
          </cell>
        </row>
        <row r="635">
          <cell r="D635">
            <v>42.9</v>
          </cell>
        </row>
        <row r="636">
          <cell r="D636">
            <v>10.6</v>
          </cell>
        </row>
        <row r="637">
          <cell r="D637">
            <v>7.7</v>
          </cell>
        </row>
        <row r="638">
          <cell r="D638">
            <v>15</v>
          </cell>
        </row>
        <row r="639">
          <cell r="D639">
            <v>4.8</v>
          </cell>
        </row>
        <row r="640">
          <cell r="D640">
            <v>7.5</v>
          </cell>
        </row>
        <row r="641">
          <cell r="D641">
            <v>10.4</v>
          </cell>
        </row>
        <row r="642">
          <cell r="D642">
            <v>10.1</v>
          </cell>
        </row>
        <row r="643">
          <cell r="D643">
            <v>30</v>
          </cell>
        </row>
        <row r="644">
          <cell r="D644">
            <v>5.2</v>
          </cell>
        </row>
        <row r="645">
          <cell r="D645">
            <v>12.8</v>
          </cell>
        </row>
        <row r="646">
          <cell r="D646">
            <v>42.4</v>
          </cell>
        </row>
        <row r="647">
          <cell r="D647">
            <v>10.199999999999999</v>
          </cell>
        </row>
        <row r="648">
          <cell r="D648">
            <v>4.7</v>
          </cell>
        </row>
        <row r="649">
          <cell r="D649">
            <v>13.9</v>
          </cell>
        </row>
        <row r="650">
          <cell r="D650">
            <v>10.4</v>
          </cell>
        </row>
        <row r="651">
          <cell r="D651">
            <v>8</v>
          </cell>
        </row>
        <row r="652">
          <cell r="D652">
            <v>4.8</v>
          </cell>
        </row>
        <row r="653">
          <cell r="D653">
            <v>10.4</v>
          </cell>
        </row>
        <row r="654">
          <cell r="D654">
            <v>10.6</v>
          </cell>
        </row>
        <row r="655">
          <cell r="D655">
            <v>5.3</v>
          </cell>
        </row>
        <row r="656">
          <cell r="D656">
            <v>9.6</v>
          </cell>
        </row>
        <row r="657">
          <cell r="D657">
            <v>5.0999999999999996</v>
          </cell>
        </row>
        <row r="658">
          <cell r="D658">
            <v>23.2</v>
          </cell>
        </row>
        <row r="659">
          <cell r="D659">
            <v>18.7</v>
          </cell>
        </row>
        <row r="660">
          <cell r="D660">
            <v>13</v>
          </cell>
        </row>
        <row r="661">
          <cell r="D661">
            <v>5.2</v>
          </cell>
        </row>
        <row r="662">
          <cell r="D662">
            <v>10.6</v>
          </cell>
        </row>
        <row r="663">
          <cell r="D663">
            <v>7.7</v>
          </cell>
        </row>
        <row r="664">
          <cell r="D664">
            <v>5.2</v>
          </cell>
        </row>
        <row r="665">
          <cell r="D665">
            <v>10.4</v>
          </cell>
        </row>
        <row r="666">
          <cell r="D666">
            <v>5.0999999999999996</v>
          </cell>
        </row>
        <row r="667">
          <cell r="D667">
            <v>5.2</v>
          </cell>
        </row>
        <row r="668">
          <cell r="D668">
            <v>18.7</v>
          </cell>
        </row>
        <row r="669">
          <cell r="D669">
            <v>17.100000000000001</v>
          </cell>
        </row>
        <row r="670">
          <cell r="D670">
            <v>8</v>
          </cell>
        </row>
        <row r="671">
          <cell r="D671">
            <v>4.7</v>
          </cell>
        </row>
        <row r="672">
          <cell r="D672">
            <v>17.899999999999999</v>
          </cell>
        </row>
        <row r="673">
          <cell r="D673">
            <v>5.0999999999999996</v>
          </cell>
        </row>
        <row r="674">
          <cell r="D674">
            <v>22.8</v>
          </cell>
        </row>
        <row r="675">
          <cell r="D675">
            <v>6.5</v>
          </cell>
        </row>
        <row r="676">
          <cell r="D676">
            <v>30.1</v>
          </cell>
        </row>
        <row r="677">
          <cell r="D677">
            <v>12.6</v>
          </cell>
        </row>
        <row r="678">
          <cell r="D678">
            <v>12.6</v>
          </cell>
        </row>
        <row r="679">
          <cell r="D679">
            <v>14.8</v>
          </cell>
        </row>
        <row r="680">
          <cell r="D680">
            <v>10.4</v>
          </cell>
        </row>
        <row r="681">
          <cell r="D681">
            <v>25.4</v>
          </cell>
        </row>
        <row r="682">
          <cell r="D682">
            <v>7.5</v>
          </cell>
        </row>
        <row r="683">
          <cell r="D683">
            <v>19.8</v>
          </cell>
        </row>
        <row r="684">
          <cell r="D684">
            <v>13.5</v>
          </cell>
        </row>
        <row r="685">
          <cell r="D685">
            <v>7.5</v>
          </cell>
        </row>
        <row r="686">
          <cell r="D686">
            <v>21.9</v>
          </cell>
        </row>
        <row r="687">
          <cell r="D687">
            <v>5.3</v>
          </cell>
        </row>
        <row r="688">
          <cell r="D688">
            <v>10.6</v>
          </cell>
        </row>
        <row r="689">
          <cell r="D689">
            <v>6.7</v>
          </cell>
        </row>
        <row r="690">
          <cell r="D690">
            <v>10.6</v>
          </cell>
        </row>
        <row r="691">
          <cell r="D691">
            <v>8.9</v>
          </cell>
        </row>
        <row r="692">
          <cell r="D692">
            <v>6.8</v>
          </cell>
        </row>
        <row r="693">
          <cell r="D693">
            <v>5.2</v>
          </cell>
        </row>
        <row r="694">
          <cell r="D694">
            <v>20.399999999999999</v>
          </cell>
        </row>
        <row r="695">
          <cell r="D695">
            <v>5.2</v>
          </cell>
        </row>
        <row r="696">
          <cell r="D696">
            <v>12.8</v>
          </cell>
        </row>
        <row r="697">
          <cell r="D697">
            <v>15.6</v>
          </cell>
        </row>
        <row r="698">
          <cell r="D698">
            <v>7.7</v>
          </cell>
        </row>
        <row r="699">
          <cell r="D699">
            <v>12.7</v>
          </cell>
        </row>
        <row r="700">
          <cell r="D700">
            <v>7.7</v>
          </cell>
        </row>
        <row r="701">
          <cell r="D701">
            <v>11.9</v>
          </cell>
        </row>
        <row r="702">
          <cell r="D702">
            <v>10.6</v>
          </cell>
        </row>
        <row r="703">
          <cell r="D703">
            <v>5.3</v>
          </cell>
        </row>
        <row r="704">
          <cell r="D704">
            <v>22.2</v>
          </cell>
        </row>
        <row r="705">
          <cell r="D705">
            <v>15.2</v>
          </cell>
        </row>
        <row r="706">
          <cell r="D706">
            <v>10.4</v>
          </cell>
        </row>
        <row r="707">
          <cell r="D707">
            <v>7.5</v>
          </cell>
        </row>
        <row r="708">
          <cell r="D708">
            <v>17.100000000000001</v>
          </cell>
        </row>
        <row r="709">
          <cell r="D709">
            <v>7.7</v>
          </cell>
        </row>
        <row r="710">
          <cell r="D710">
            <v>5.3</v>
          </cell>
        </row>
        <row r="711">
          <cell r="D711">
            <v>10.6</v>
          </cell>
        </row>
        <row r="712">
          <cell r="D712">
            <v>5.3</v>
          </cell>
        </row>
        <row r="713">
          <cell r="D713">
            <v>15.2</v>
          </cell>
        </row>
        <row r="714">
          <cell r="D714">
            <v>12</v>
          </cell>
        </row>
        <row r="715">
          <cell r="D715">
            <v>15.2</v>
          </cell>
        </row>
        <row r="716">
          <cell r="D716">
            <v>8.3000000000000007</v>
          </cell>
        </row>
        <row r="717">
          <cell r="D717">
            <v>7.7</v>
          </cell>
        </row>
        <row r="718">
          <cell r="D718">
            <v>15</v>
          </cell>
        </row>
        <row r="719">
          <cell r="D719">
            <v>26.5</v>
          </cell>
        </row>
        <row r="720">
          <cell r="D720">
            <v>18.7</v>
          </cell>
        </row>
        <row r="721">
          <cell r="D721">
            <v>8.9</v>
          </cell>
        </row>
        <row r="722">
          <cell r="D722">
            <v>9.9</v>
          </cell>
        </row>
        <row r="723">
          <cell r="D723">
            <v>6.8</v>
          </cell>
        </row>
        <row r="724">
          <cell r="D724">
            <v>12.3</v>
          </cell>
        </row>
        <row r="725">
          <cell r="D725">
            <v>12.9</v>
          </cell>
        </row>
        <row r="726">
          <cell r="D726">
            <v>4.8</v>
          </cell>
        </row>
        <row r="727">
          <cell r="D727">
            <v>5.0999999999999996</v>
          </cell>
        </row>
        <row r="728">
          <cell r="D728">
            <v>6.8</v>
          </cell>
        </row>
        <row r="729">
          <cell r="D729">
            <v>4</v>
          </cell>
        </row>
        <row r="730">
          <cell r="D730">
            <v>10.6</v>
          </cell>
        </row>
        <row r="731">
          <cell r="D731">
            <v>23.1</v>
          </cell>
        </row>
        <row r="732">
          <cell r="D732">
            <v>18.100000000000001</v>
          </cell>
        </row>
        <row r="733">
          <cell r="D733">
            <v>11.7</v>
          </cell>
        </row>
        <row r="734">
          <cell r="D734">
            <v>10.6</v>
          </cell>
        </row>
        <row r="735">
          <cell r="D735">
            <v>5.2</v>
          </cell>
        </row>
        <row r="736">
          <cell r="D736">
            <v>22.5</v>
          </cell>
        </row>
        <row r="737">
          <cell r="D737">
            <v>7.5</v>
          </cell>
        </row>
        <row r="738">
          <cell r="D738">
            <v>10.6</v>
          </cell>
        </row>
        <row r="739">
          <cell r="D739">
            <v>4.0999999999999996</v>
          </cell>
        </row>
        <row r="740">
          <cell r="D740">
            <v>20.5</v>
          </cell>
        </row>
        <row r="741">
          <cell r="D741">
            <v>9.6</v>
          </cell>
        </row>
        <row r="742">
          <cell r="D742">
            <v>15.2</v>
          </cell>
        </row>
        <row r="743">
          <cell r="D743">
            <v>20.399999999999999</v>
          </cell>
        </row>
        <row r="744">
          <cell r="D744">
            <v>5.2</v>
          </cell>
        </row>
        <row r="745">
          <cell r="D745">
            <v>15.7</v>
          </cell>
        </row>
        <row r="746">
          <cell r="D746">
            <v>10.6</v>
          </cell>
        </row>
        <row r="747">
          <cell r="D747">
            <v>30</v>
          </cell>
        </row>
        <row r="748">
          <cell r="D748">
            <v>9.6</v>
          </cell>
        </row>
        <row r="749">
          <cell r="D749">
            <v>15</v>
          </cell>
        </row>
        <row r="750">
          <cell r="D750">
            <v>9.9</v>
          </cell>
        </row>
        <row r="751">
          <cell r="D751">
            <v>12</v>
          </cell>
        </row>
        <row r="752">
          <cell r="D752">
            <v>20</v>
          </cell>
        </row>
        <row r="753">
          <cell r="D753">
            <v>10.4</v>
          </cell>
        </row>
        <row r="754">
          <cell r="D754">
            <v>22.5</v>
          </cell>
        </row>
        <row r="755">
          <cell r="D755">
            <v>5.3</v>
          </cell>
        </row>
        <row r="756">
          <cell r="D756">
            <v>5.3</v>
          </cell>
        </row>
        <row r="757">
          <cell r="D757">
            <v>7.7</v>
          </cell>
        </row>
        <row r="758">
          <cell r="D758">
            <v>5.3</v>
          </cell>
        </row>
        <row r="759">
          <cell r="D759">
            <v>5.3</v>
          </cell>
        </row>
        <row r="760">
          <cell r="D760">
            <v>14.9</v>
          </cell>
        </row>
        <row r="761">
          <cell r="D761">
            <v>8.1999999999999993</v>
          </cell>
        </row>
        <row r="762">
          <cell r="D762">
            <v>12.6</v>
          </cell>
        </row>
        <row r="763">
          <cell r="D763">
            <v>19.8</v>
          </cell>
        </row>
        <row r="764">
          <cell r="D764">
            <v>7.5</v>
          </cell>
        </row>
        <row r="765">
          <cell r="D765">
            <v>7.7</v>
          </cell>
        </row>
      </sheetData>
      <sheetData sheetId="5"/>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eporting_freezy%2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reporting_freezy%20(3).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ld" refreshedDate="45603.632619212964" createdVersion="8" refreshedVersion="8" minRefreshableVersion="3" recordCount="765" xr:uid="{B2BB4E26-E32C-4155-981A-A64FE9A4331E}">
  <cacheSource type="worksheet">
    <worksheetSource ref="D1:D1048576" sheet="FR3_Data" r:id="rId2"/>
  </cacheSource>
  <cacheFields count="1">
    <cacheField name="TOTAL_Commande" numFmtId="0">
      <sharedItems containsString="0" containsBlank="1" containsNumber="1" minValue="3" maxValue="69.2" count="134">
        <n v="22.2"/>
        <n v="8"/>
        <n v="7.4"/>
        <n v="18.399999999999999"/>
        <n v="38.5"/>
        <n v="12"/>
        <n v="12.8"/>
        <n v="22.7"/>
        <n v="5.3"/>
        <n v="15.5"/>
        <n v="25.5"/>
        <n v="10.4"/>
        <n v="7.5"/>
        <n v="7.7"/>
        <n v="15.6"/>
        <n v="9.3000000000000007"/>
        <n v="9.6"/>
        <n v="19.2"/>
        <n v="5.2"/>
        <n v="6.5"/>
        <n v="13.9"/>
        <n v="9.9"/>
        <n v="30"/>
        <n v="15.4"/>
        <n v="28.7"/>
        <n v="6.8"/>
        <n v="7.6"/>
        <n v="10.1"/>
        <n v="25.2"/>
        <n v="12.7"/>
        <n v="15"/>
        <n v="10.6"/>
        <n v="4.8"/>
        <n v="29.6"/>
        <n v="15.2"/>
        <n v="17.3"/>
        <n v="20"/>
        <n v="8.1999999999999993"/>
        <n v="5.0999999999999996"/>
        <n v="4.9000000000000004"/>
        <n v="15.9"/>
        <n v="20.399999999999999"/>
        <n v="20.6"/>
        <n v="21.1"/>
        <n v="4.2"/>
        <n v="10.199999999999999"/>
        <n v="4.0999999999999996"/>
        <n v="20.3"/>
        <n v="14.8"/>
        <n v="69.2"/>
        <n v="21"/>
        <n v="12.5"/>
        <n v="14.9"/>
        <n v="10.5"/>
        <n v="18.899999999999999"/>
        <n v="13"/>
        <n v="9.4"/>
        <n v="26.8"/>
        <n v="3"/>
        <n v="12.3"/>
        <n v="10.3"/>
        <n v="17.100000000000001"/>
        <n v="11.7"/>
        <n v="17.2"/>
        <n v="9.8000000000000007"/>
        <n v="18"/>
        <n v="4.7"/>
        <n v="20.5"/>
        <n v="13.5"/>
        <n v="11.8"/>
        <n v="18.100000000000001"/>
        <n v="7.8"/>
        <n v="22.5"/>
        <n v="15.7"/>
        <n v="22.1"/>
        <n v="24.9"/>
        <n v="17.8"/>
        <n v="13.6"/>
        <n v="6.7"/>
        <n v="13.3"/>
        <n v="15.3"/>
        <n v="11.5"/>
        <n v="31.8"/>
        <n v="4"/>
        <n v="19.5"/>
        <n v="9.1999999999999993"/>
        <n v="13.4"/>
        <n v="18.7"/>
        <n v="29.4"/>
        <n v="32.799999999999997"/>
        <n v="21.7"/>
        <n v="25.4"/>
        <n v="16.3"/>
        <n v="8.9"/>
        <n v="23.1"/>
        <n v="23.6"/>
        <n v="26.5"/>
        <n v="21.2"/>
        <n v="30.2"/>
        <n v="16.8"/>
        <n v="19.8"/>
        <n v="7.9"/>
        <n v="18.3"/>
        <n v="18.8"/>
        <n v="12.6"/>
        <n v="33.1"/>
        <n v="22"/>
        <n v="17.7"/>
        <n v="18.2"/>
        <n v="27.3"/>
        <n v="17.600000000000001"/>
        <n v="12.1"/>
        <n v="19.100000000000001"/>
        <n v="10"/>
        <n v="26.7"/>
        <n v="11.6"/>
        <n v="16.399999999999999"/>
        <n v="27.8"/>
        <n v="20.2"/>
        <n v="17.899999999999999"/>
        <n v="31.6"/>
        <n v="22.8"/>
        <n v="14.1"/>
        <n v="20.100000000000001"/>
        <n v="35.6"/>
        <n v="42.9"/>
        <n v="42.4"/>
        <n v="23.2"/>
        <n v="30.1"/>
        <n v="21.9"/>
        <n v="11.9"/>
        <n v="8.3000000000000007"/>
        <n v="12.9"/>
        <m/>
      </sharedItems>
      <fieldGroup base="0">
        <rangePr startNum="3" endNum="69.2" groupInterval="2.5"/>
        <groupItems count="29">
          <s v="(vide)"/>
          <s v="3-5,5"/>
          <s v="5,5-8"/>
          <s v="8-10,5"/>
          <s v="10,5-13"/>
          <s v="13-15,5"/>
          <s v="15,5-18"/>
          <s v="18-20,5"/>
          <s v="20,5-23"/>
          <s v="23-25,5"/>
          <s v="25,5-28"/>
          <s v="28-30,5"/>
          <s v="30,5-33"/>
          <s v="33-35,5"/>
          <s v="35,5-38"/>
          <s v="38-40,5"/>
          <s v="40,5-43"/>
          <s v="43-45,5"/>
          <s v="45,5-48"/>
          <s v="48-50,5"/>
          <s v="50,5-53"/>
          <s v="53-55,5"/>
          <s v="55,5-58"/>
          <s v="58-60,5"/>
          <s v="60,5-63"/>
          <s v="63-65,5"/>
          <s v="65,5-68"/>
          <s v="68-70,5"/>
          <s v="&gt;70,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ld" refreshedDate="45604.484252314818" createdVersion="8" refreshedVersion="8" minRefreshableVersion="3" recordCount="124" xr:uid="{9E1E45B2-19C2-4D64-9E9C-84EEF130C51C}">
  <cacheSource type="worksheet">
    <worksheetSource ref="J130:J254" sheet="FR3_Data" r:id="rId2"/>
  </cacheSource>
  <cacheFields count="1">
    <cacheField name="nombre de commandes" numFmtId="0">
      <sharedItems containsSemiMixedTypes="0" containsString="0" containsNumber="1" containsInteger="1" minValue="1" maxValue="21" count="18">
        <n v="21"/>
        <n v="16"/>
        <n v="14"/>
        <n v="12"/>
        <n v="7"/>
        <n v="9"/>
        <n v="10"/>
        <n v="4"/>
        <n v="13"/>
        <n v="15"/>
        <n v="8"/>
        <n v="5"/>
        <n v="2"/>
        <n v="3"/>
        <n v="6"/>
        <n v="11"/>
        <n v="18"/>
        <n v="1"/>
      </sharedItems>
      <fieldGroup base="0">
        <rangePr startNum="1" endNum="21" groupInterval="5"/>
        <groupItems count="6">
          <s v="&lt;1"/>
          <s v="1-5"/>
          <s v="6-10"/>
          <s v="11-15"/>
          <s v="16-21"/>
          <s v="&gt;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5">
  <r>
    <x v="0"/>
  </r>
  <r>
    <x v="1"/>
  </r>
  <r>
    <x v="2"/>
  </r>
  <r>
    <x v="1"/>
  </r>
  <r>
    <x v="3"/>
  </r>
  <r>
    <x v="4"/>
  </r>
  <r>
    <x v="5"/>
  </r>
  <r>
    <x v="6"/>
  </r>
  <r>
    <x v="7"/>
  </r>
  <r>
    <x v="8"/>
  </r>
  <r>
    <x v="9"/>
  </r>
  <r>
    <x v="10"/>
  </r>
  <r>
    <x v="11"/>
  </r>
  <r>
    <x v="12"/>
  </r>
  <r>
    <x v="13"/>
  </r>
  <r>
    <x v="12"/>
  </r>
  <r>
    <x v="14"/>
  </r>
  <r>
    <x v="15"/>
  </r>
  <r>
    <x v="16"/>
  </r>
  <r>
    <x v="12"/>
  </r>
  <r>
    <x v="17"/>
  </r>
  <r>
    <x v="18"/>
  </r>
  <r>
    <x v="19"/>
  </r>
  <r>
    <x v="20"/>
  </r>
  <r>
    <x v="21"/>
  </r>
  <r>
    <x v="1"/>
  </r>
  <r>
    <x v="22"/>
  </r>
  <r>
    <x v="12"/>
  </r>
  <r>
    <x v="8"/>
  </r>
  <r>
    <x v="12"/>
  </r>
  <r>
    <x v="23"/>
  </r>
  <r>
    <x v="6"/>
  </r>
  <r>
    <x v="18"/>
  </r>
  <r>
    <x v="24"/>
  </r>
  <r>
    <x v="8"/>
  </r>
  <r>
    <x v="25"/>
  </r>
  <r>
    <x v="25"/>
  </r>
  <r>
    <x v="26"/>
  </r>
  <r>
    <x v="18"/>
  </r>
  <r>
    <x v="7"/>
  </r>
  <r>
    <x v="16"/>
  </r>
  <r>
    <x v="27"/>
  </r>
  <r>
    <x v="12"/>
  </r>
  <r>
    <x v="28"/>
  </r>
  <r>
    <x v="29"/>
  </r>
  <r>
    <x v="30"/>
  </r>
  <r>
    <x v="31"/>
  </r>
  <r>
    <x v="31"/>
  </r>
  <r>
    <x v="13"/>
  </r>
  <r>
    <x v="32"/>
  </r>
  <r>
    <x v="12"/>
  </r>
  <r>
    <x v="11"/>
  </r>
  <r>
    <x v="33"/>
  </r>
  <r>
    <x v="27"/>
  </r>
  <r>
    <x v="34"/>
  </r>
  <r>
    <x v="35"/>
  </r>
  <r>
    <x v="36"/>
  </r>
  <r>
    <x v="16"/>
  </r>
  <r>
    <x v="8"/>
  </r>
  <r>
    <x v="8"/>
  </r>
  <r>
    <x v="8"/>
  </r>
  <r>
    <x v="37"/>
  </r>
  <r>
    <x v="12"/>
  </r>
  <r>
    <x v="38"/>
  </r>
  <r>
    <x v="39"/>
  </r>
  <r>
    <x v="40"/>
  </r>
  <r>
    <x v="8"/>
  </r>
  <r>
    <x v="16"/>
  </r>
  <r>
    <x v="12"/>
  </r>
  <r>
    <x v="41"/>
  </r>
  <r>
    <x v="42"/>
  </r>
  <r>
    <x v="26"/>
  </r>
  <r>
    <x v="8"/>
  </r>
  <r>
    <x v="34"/>
  </r>
  <r>
    <x v="43"/>
  </r>
  <r>
    <x v="32"/>
  </r>
  <r>
    <x v="25"/>
  </r>
  <r>
    <x v="44"/>
  </r>
  <r>
    <x v="13"/>
  </r>
  <r>
    <x v="30"/>
  </r>
  <r>
    <x v="18"/>
  </r>
  <r>
    <x v="31"/>
  </r>
  <r>
    <x v="45"/>
  </r>
  <r>
    <x v="13"/>
  </r>
  <r>
    <x v="11"/>
  </r>
  <r>
    <x v="44"/>
  </r>
  <r>
    <x v="16"/>
  </r>
  <r>
    <x v="46"/>
  </r>
  <r>
    <x v="18"/>
  </r>
  <r>
    <x v="11"/>
  </r>
  <r>
    <x v="40"/>
  </r>
  <r>
    <x v="8"/>
  </r>
  <r>
    <x v="47"/>
  </r>
  <r>
    <x v="39"/>
  </r>
  <r>
    <x v="48"/>
  </r>
  <r>
    <x v="49"/>
  </r>
  <r>
    <x v="12"/>
  </r>
  <r>
    <x v="50"/>
  </r>
  <r>
    <x v="51"/>
  </r>
  <r>
    <x v="52"/>
  </r>
  <r>
    <x v="11"/>
  </r>
  <r>
    <x v="53"/>
  </r>
  <r>
    <x v="8"/>
  </r>
  <r>
    <x v="12"/>
  </r>
  <r>
    <x v="54"/>
  </r>
  <r>
    <x v="8"/>
  </r>
  <r>
    <x v="18"/>
  </r>
  <r>
    <x v="30"/>
  </r>
  <r>
    <x v="55"/>
  </r>
  <r>
    <x v="56"/>
  </r>
  <r>
    <x v="31"/>
  </r>
  <r>
    <x v="22"/>
  </r>
  <r>
    <x v="57"/>
  </r>
  <r>
    <x v="11"/>
  </r>
  <r>
    <x v="12"/>
  </r>
  <r>
    <x v="13"/>
  </r>
  <r>
    <x v="18"/>
  </r>
  <r>
    <x v="26"/>
  </r>
  <r>
    <x v="58"/>
  </r>
  <r>
    <x v="30"/>
  </r>
  <r>
    <x v="59"/>
  </r>
  <r>
    <x v="2"/>
  </r>
  <r>
    <x v="38"/>
  </r>
  <r>
    <x v="60"/>
  </r>
  <r>
    <x v="61"/>
  </r>
  <r>
    <x v="8"/>
  </r>
  <r>
    <x v="62"/>
  </r>
  <r>
    <x v="46"/>
  </r>
  <r>
    <x v="26"/>
  </r>
  <r>
    <x v="63"/>
  </r>
  <r>
    <x v="18"/>
  </r>
  <r>
    <x v="38"/>
  </r>
  <r>
    <x v="20"/>
  </r>
  <r>
    <x v="14"/>
  </r>
  <r>
    <x v="64"/>
  </r>
  <r>
    <x v="30"/>
  </r>
  <r>
    <x v="30"/>
  </r>
  <r>
    <x v="31"/>
  </r>
  <r>
    <x v="8"/>
  </r>
  <r>
    <x v="14"/>
  </r>
  <r>
    <x v="18"/>
  </r>
  <r>
    <x v="18"/>
  </r>
  <r>
    <x v="1"/>
  </r>
  <r>
    <x v="18"/>
  </r>
  <r>
    <x v="25"/>
  </r>
  <r>
    <x v="41"/>
  </r>
  <r>
    <x v="2"/>
  </r>
  <r>
    <x v="39"/>
  </r>
  <r>
    <x v="18"/>
  </r>
  <r>
    <x v="38"/>
  </r>
  <r>
    <x v="34"/>
  </r>
  <r>
    <x v="18"/>
  </r>
  <r>
    <x v="55"/>
  </r>
  <r>
    <x v="16"/>
  </r>
  <r>
    <x v="18"/>
  </r>
  <r>
    <x v="31"/>
  </r>
  <r>
    <x v="18"/>
  </r>
  <r>
    <x v="12"/>
  </r>
  <r>
    <x v="2"/>
  </r>
  <r>
    <x v="45"/>
  </r>
  <r>
    <x v="27"/>
  </r>
  <r>
    <x v="38"/>
  </r>
  <r>
    <x v="39"/>
  </r>
  <r>
    <x v="12"/>
  </r>
  <r>
    <x v="39"/>
  </r>
  <r>
    <x v="17"/>
  </r>
  <r>
    <x v="65"/>
  </r>
  <r>
    <x v="8"/>
  </r>
  <r>
    <x v="66"/>
  </r>
  <r>
    <x v="62"/>
  </r>
  <r>
    <x v="67"/>
  </r>
  <r>
    <x v="68"/>
  </r>
  <r>
    <x v="12"/>
  </r>
  <r>
    <x v="8"/>
  </r>
  <r>
    <x v="31"/>
  </r>
  <r>
    <x v="26"/>
  </r>
  <r>
    <x v="6"/>
  </r>
  <r>
    <x v="8"/>
  </r>
  <r>
    <x v="2"/>
  </r>
  <r>
    <x v="69"/>
  </r>
  <r>
    <x v="70"/>
  </r>
  <r>
    <x v="47"/>
  </r>
  <r>
    <x v="8"/>
  </r>
  <r>
    <x v="44"/>
  </r>
  <r>
    <x v="16"/>
  </r>
  <r>
    <x v="30"/>
  </r>
  <r>
    <x v="25"/>
  </r>
  <r>
    <x v="32"/>
  </r>
  <r>
    <x v="71"/>
  </r>
  <r>
    <x v="21"/>
  </r>
  <r>
    <x v="29"/>
  </r>
  <r>
    <x v="32"/>
  </r>
  <r>
    <x v="25"/>
  </r>
  <r>
    <x v="12"/>
  </r>
  <r>
    <x v="26"/>
  </r>
  <r>
    <x v="13"/>
  </r>
  <r>
    <x v="13"/>
  </r>
  <r>
    <x v="13"/>
  </r>
  <r>
    <x v="16"/>
  </r>
  <r>
    <x v="12"/>
  </r>
  <r>
    <x v="39"/>
  </r>
  <r>
    <x v="37"/>
  </r>
  <r>
    <x v="13"/>
  </r>
  <r>
    <x v="12"/>
  </r>
  <r>
    <x v="8"/>
  </r>
  <r>
    <x v="11"/>
  </r>
  <r>
    <x v="0"/>
  </r>
  <r>
    <x v="48"/>
  </r>
  <r>
    <x v="40"/>
  </r>
  <r>
    <x v="8"/>
  </r>
  <r>
    <x v="11"/>
  </r>
  <r>
    <x v="72"/>
  </r>
  <r>
    <x v="18"/>
  </r>
  <r>
    <x v="25"/>
  </r>
  <r>
    <x v="18"/>
  </r>
  <r>
    <x v="31"/>
  </r>
  <r>
    <x v="2"/>
  </r>
  <r>
    <x v="18"/>
  </r>
  <r>
    <x v="31"/>
  </r>
  <r>
    <x v="6"/>
  </r>
  <r>
    <x v="46"/>
  </r>
  <r>
    <x v="13"/>
  </r>
  <r>
    <x v="25"/>
  </r>
  <r>
    <x v="11"/>
  </r>
  <r>
    <x v="2"/>
  </r>
  <r>
    <x v="73"/>
  </r>
  <r>
    <x v="74"/>
  </r>
  <r>
    <x v="18"/>
  </r>
  <r>
    <x v="8"/>
  </r>
  <r>
    <x v="55"/>
  </r>
  <r>
    <x v="64"/>
  </r>
  <r>
    <x v="31"/>
  </r>
  <r>
    <x v="75"/>
  </r>
  <r>
    <x v="12"/>
  </r>
  <r>
    <x v="30"/>
  </r>
  <r>
    <x v="8"/>
  </r>
  <r>
    <x v="76"/>
  </r>
  <r>
    <x v="12"/>
  </r>
  <r>
    <x v="77"/>
  </r>
  <r>
    <x v="8"/>
  </r>
  <r>
    <x v="18"/>
  </r>
  <r>
    <x v="11"/>
  </r>
  <r>
    <x v="27"/>
  </r>
  <r>
    <x v="78"/>
  </r>
  <r>
    <x v="79"/>
  </r>
  <r>
    <x v="18"/>
  </r>
  <r>
    <x v="8"/>
  </r>
  <r>
    <x v="12"/>
  </r>
  <r>
    <x v="13"/>
  </r>
  <r>
    <x v="19"/>
  </r>
  <r>
    <x v="48"/>
  </r>
  <r>
    <x v="78"/>
  </r>
  <r>
    <x v="5"/>
  </r>
  <r>
    <x v="5"/>
  </r>
  <r>
    <x v="8"/>
  </r>
  <r>
    <x v="29"/>
  </r>
  <r>
    <x v="18"/>
  </r>
  <r>
    <x v="30"/>
  </r>
  <r>
    <x v="11"/>
  </r>
  <r>
    <x v="18"/>
  </r>
  <r>
    <x v="80"/>
  </r>
  <r>
    <x v="81"/>
  </r>
  <r>
    <x v="79"/>
  </r>
  <r>
    <x v="46"/>
  </r>
  <r>
    <x v="16"/>
  </r>
  <r>
    <x v="12"/>
  </r>
  <r>
    <x v="42"/>
  </r>
  <r>
    <x v="64"/>
  </r>
  <r>
    <x v="13"/>
  </r>
  <r>
    <x v="8"/>
  </r>
  <r>
    <x v="31"/>
  </r>
  <r>
    <x v="39"/>
  </r>
  <r>
    <x v="55"/>
  </r>
  <r>
    <x v="82"/>
  </r>
  <r>
    <x v="13"/>
  </r>
  <r>
    <x v="12"/>
  </r>
  <r>
    <x v="38"/>
  </r>
  <r>
    <x v="13"/>
  </r>
  <r>
    <x v="83"/>
  </r>
  <r>
    <x v="84"/>
  </r>
  <r>
    <x v="2"/>
  </r>
  <r>
    <x v="23"/>
  </r>
  <r>
    <x v="32"/>
  </r>
  <r>
    <x v="31"/>
  </r>
  <r>
    <x v="25"/>
  </r>
  <r>
    <x v="2"/>
  </r>
  <r>
    <x v="14"/>
  </r>
  <r>
    <x v="35"/>
  </r>
  <r>
    <x v="9"/>
  </r>
  <r>
    <x v="85"/>
  </r>
  <r>
    <x v="30"/>
  </r>
  <r>
    <x v="26"/>
  </r>
  <r>
    <x v="86"/>
  </r>
  <r>
    <x v="16"/>
  </r>
  <r>
    <x v="45"/>
  </r>
  <r>
    <x v="41"/>
  </r>
  <r>
    <x v="12"/>
  </r>
  <r>
    <x v="13"/>
  </r>
  <r>
    <x v="31"/>
  </r>
  <r>
    <x v="56"/>
  </r>
  <r>
    <x v="11"/>
  </r>
  <r>
    <x v="30"/>
  </r>
  <r>
    <x v="2"/>
  </r>
  <r>
    <x v="87"/>
  </r>
  <r>
    <x v="34"/>
  </r>
  <r>
    <x v="8"/>
  </r>
  <r>
    <x v="16"/>
  </r>
  <r>
    <x v="12"/>
  </r>
  <r>
    <x v="8"/>
  </r>
  <r>
    <x v="8"/>
  </r>
  <r>
    <x v="2"/>
  </r>
  <r>
    <x v="39"/>
  </r>
  <r>
    <x v="37"/>
  </r>
  <r>
    <x v="10"/>
  </r>
  <r>
    <x v="6"/>
  </r>
  <r>
    <x v="21"/>
  </r>
  <r>
    <x v="12"/>
  </r>
  <r>
    <x v="26"/>
  </r>
  <r>
    <x v="38"/>
  </r>
  <r>
    <x v="88"/>
  </r>
  <r>
    <x v="8"/>
  </r>
  <r>
    <x v="89"/>
  </r>
  <r>
    <x v="34"/>
  </r>
  <r>
    <x v="90"/>
  </r>
  <r>
    <x v="8"/>
  </r>
  <r>
    <x v="16"/>
  </r>
  <r>
    <x v="25"/>
  </r>
  <r>
    <x v="26"/>
  </r>
  <r>
    <x v="18"/>
  </r>
  <r>
    <x v="12"/>
  </r>
  <r>
    <x v="91"/>
  </r>
  <r>
    <x v="92"/>
  </r>
  <r>
    <x v="23"/>
  </r>
  <r>
    <x v="32"/>
  </r>
  <r>
    <x v="8"/>
  </r>
  <r>
    <x v="48"/>
  </r>
  <r>
    <x v="16"/>
  </r>
  <r>
    <x v="35"/>
  </r>
  <r>
    <x v="83"/>
  </r>
  <r>
    <x v="20"/>
  </r>
  <r>
    <x v="48"/>
  </r>
  <r>
    <x v="37"/>
  </r>
  <r>
    <x v="93"/>
  </r>
  <r>
    <x v="26"/>
  </r>
  <r>
    <x v="21"/>
  </r>
  <r>
    <x v="64"/>
  </r>
  <r>
    <x v="1"/>
  </r>
  <r>
    <x v="45"/>
  </r>
  <r>
    <x v="12"/>
  </r>
  <r>
    <x v="9"/>
  </r>
  <r>
    <x v="94"/>
  </r>
  <r>
    <x v="8"/>
  </r>
  <r>
    <x v="95"/>
  </r>
  <r>
    <x v="25"/>
  </r>
  <r>
    <x v="6"/>
  </r>
  <r>
    <x v="11"/>
  </r>
  <r>
    <x v="13"/>
  </r>
  <r>
    <x v="26"/>
  </r>
  <r>
    <x v="56"/>
  </r>
  <r>
    <x v="8"/>
  </r>
  <r>
    <x v="72"/>
  </r>
  <r>
    <x v="27"/>
  </r>
  <r>
    <x v="39"/>
  </r>
  <r>
    <x v="59"/>
  </r>
  <r>
    <x v="8"/>
  </r>
  <r>
    <x v="87"/>
  </r>
  <r>
    <x v="8"/>
  </r>
  <r>
    <x v="96"/>
  </r>
  <r>
    <x v="11"/>
  </r>
  <r>
    <x v="41"/>
  </r>
  <r>
    <x v="8"/>
  </r>
  <r>
    <x v="8"/>
  </r>
  <r>
    <x v="13"/>
  </r>
  <r>
    <x v="12"/>
  </r>
  <r>
    <x v="30"/>
  </r>
  <r>
    <x v="33"/>
  </r>
  <r>
    <x v="38"/>
  </r>
  <r>
    <x v="13"/>
  </r>
  <r>
    <x v="14"/>
  </r>
  <r>
    <x v="8"/>
  </r>
  <r>
    <x v="25"/>
  </r>
  <r>
    <x v="25"/>
  </r>
  <r>
    <x v="14"/>
  </r>
  <r>
    <x v="46"/>
  </r>
  <r>
    <x v="32"/>
  </r>
  <r>
    <x v="17"/>
  </r>
  <r>
    <x v="30"/>
  </r>
  <r>
    <x v="2"/>
  </r>
  <r>
    <x v="40"/>
  </r>
  <r>
    <x v="12"/>
  </r>
  <r>
    <x v="8"/>
  </r>
  <r>
    <x v="44"/>
  </r>
  <r>
    <x v="46"/>
  </r>
  <r>
    <x v="23"/>
  </r>
  <r>
    <x v="18"/>
  </r>
  <r>
    <x v="93"/>
  </r>
  <r>
    <x v="97"/>
  </r>
  <r>
    <x v="64"/>
  </r>
  <r>
    <x v="45"/>
  </r>
  <r>
    <x v="98"/>
  </r>
  <r>
    <x v="25"/>
  </r>
  <r>
    <x v="25"/>
  </r>
  <r>
    <x v="18"/>
  </r>
  <r>
    <x v="30"/>
  </r>
  <r>
    <x v="2"/>
  </r>
  <r>
    <x v="39"/>
  </r>
  <r>
    <x v="99"/>
  </r>
  <r>
    <x v="97"/>
  </r>
  <r>
    <x v="100"/>
  </r>
  <r>
    <x v="101"/>
  </r>
  <r>
    <x v="31"/>
  </r>
  <r>
    <x v="32"/>
  </r>
  <r>
    <x v="102"/>
  </r>
  <r>
    <x v="12"/>
  </r>
  <r>
    <x v="38"/>
  </r>
  <r>
    <x v="11"/>
  </r>
  <r>
    <x v="13"/>
  </r>
  <r>
    <x v="103"/>
  </r>
  <r>
    <x v="28"/>
  </r>
  <r>
    <x v="8"/>
  </r>
  <r>
    <x v="31"/>
  </r>
  <r>
    <x v="31"/>
  </r>
  <r>
    <x v="18"/>
  </r>
  <r>
    <x v="30"/>
  </r>
  <r>
    <x v="104"/>
  </r>
  <r>
    <x v="105"/>
  </r>
  <r>
    <x v="34"/>
  </r>
  <r>
    <x v="106"/>
  </r>
  <r>
    <x v="8"/>
  </r>
  <r>
    <x v="12"/>
  </r>
  <r>
    <x v="12"/>
  </r>
  <r>
    <x v="5"/>
  </r>
  <r>
    <x v="64"/>
  </r>
  <r>
    <x v="27"/>
  </r>
  <r>
    <x v="6"/>
  </r>
  <r>
    <x v="11"/>
  </r>
  <r>
    <x v="13"/>
  </r>
  <r>
    <x v="25"/>
  </r>
  <r>
    <x v="107"/>
  </r>
  <r>
    <x v="11"/>
  </r>
  <r>
    <x v="60"/>
  </r>
  <r>
    <x v="32"/>
  </r>
  <r>
    <x v="108"/>
  </r>
  <r>
    <x v="13"/>
  </r>
  <r>
    <x v="32"/>
  </r>
  <r>
    <x v="13"/>
  </r>
  <r>
    <x v="48"/>
  </r>
  <r>
    <x v="35"/>
  </r>
  <r>
    <x v="12"/>
  </r>
  <r>
    <x v="18"/>
  </r>
  <r>
    <x v="70"/>
  </r>
  <r>
    <x v="16"/>
  </r>
  <r>
    <x v="109"/>
  </r>
  <r>
    <x v="80"/>
  </r>
  <r>
    <x v="18"/>
  </r>
  <r>
    <x v="13"/>
  </r>
  <r>
    <x v="56"/>
  </r>
  <r>
    <x v="12"/>
  </r>
  <r>
    <x v="8"/>
  </r>
  <r>
    <x v="30"/>
  </r>
  <r>
    <x v="20"/>
  </r>
  <r>
    <x v="60"/>
  </r>
  <r>
    <x v="28"/>
  </r>
  <r>
    <x v="110"/>
  </r>
  <r>
    <x v="67"/>
  </r>
  <r>
    <x v="31"/>
  </r>
  <r>
    <x v="26"/>
  </r>
  <r>
    <x v="18"/>
  </r>
  <r>
    <x v="8"/>
  </r>
  <r>
    <x v="77"/>
  </r>
  <r>
    <x v="111"/>
  </r>
  <r>
    <x v="18"/>
  </r>
  <r>
    <x v="56"/>
  </r>
  <r>
    <x v="5"/>
  </r>
  <r>
    <x v="13"/>
  </r>
  <r>
    <x v="12"/>
  </r>
  <r>
    <x v="2"/>
  </r>
  <r>
    <x v="59"/>
  </r>
  <r>
    <x v="112"/>
  </r>
  <r>
    <x v="12"/>
  </r>
  <r>
    <x v="2"/>
  </r>
  <r>
    <x v="46"/>
  </r>
  <r>
    <x v="66"/>
  </r>
  <r>
    <x v="18"/>
  </r>
  <r>
    <x v="2"/>
  </r>
  <r>
    <x v="64"/>
  </r>
  <r>
    <x v="26"/>
  </r>
  <r>
    <x v="104"/>
  </r>
  <r>
    <x v="113"/>
  </r>
  <r>
    <x v="13"/>
  </r>
  <r>
    <x v="13"/>
  </r>
  <r>
    <x v="12"/>
  </r>
  <r>
    <x v="11"/>
  </r>
  <r>
    <x v="53"/>
  </r>
  <r>
    <x v="70"/>
  </r>
  <r>
    <x v="48"/>
  </r>
  <r>
    <x v="25"/>
  </r>
  <r>
    <x v="44"/>
  </r>
  <r>
    <x v="18"/>
  </r>
  <r>
    <x v="19"/>
  </r>
  <r>
    <x v="18"/>
  </r>
  <r>
    <x v="18"/>
  </r>
  <r>
    <x v="31"/>
  </r>
  <r>
    <x v="78"/>
  </r>
  <r>
    <x v="94"/>
  </r>
  <r>
    <x v="12"/>
  </r>
  <r>
    <x v="18"/>
  </r>
  <r>
    <x v="34"/>
  </r>
  <r>
    <x v="114"/>
  </r>
  <r>
    <x v="83"/>
  </r>
  <r>
    <x v="11"/>
  </r>
  <r>
    <x v="31"/>
  </r>
  <r>
    <x v="8"/>
  </r>
  <r>
    <x v="71"/>
  </r>
  <r>
    <x v="8"/>
  </r>
  <r>
    <x v="12"/>
  </r>
  <r>
    <x v="54"/>
  </r>
  <r>
    <x v="2"/>
  </r>
  <r>
    <x v="12"/>
  </r>
  <r>
    <x v="78"/>
  </r>
  <r>
    <x v="37"/>
  </r>
  <r>
    <x v="18"/>
  </r>
  <r>
    <x v="115"/>
  </r>
  <r>
    <x v="8"/>
  </r>
  <r>
    <x v="13"/>
  </r>
  <r>
    <x v="38"/>
  </r>
  <r>
    <x v="61"/>
  </r>
  <r>
    <x v="90"/>
  </r>
  <r>
    <x v="8"/>
  </r>
  <r>
    <x v="116"/>
  </r>
  <r>
    <x v="30"/>
  </r>
  <r>
    <x v="44"/>
  </r>
  <r>
    <x v="46"/>
  </r>
  <r>
    <x v="18"/>
  </r>
  <r>
    <x v="11"/>
  </r>
  <r>
    <x v="8"/>
  </r>
  <r>
    <x v="25"/>
  </r>
  <r>
    <x v="56"/>
  </r>
  <r>
    <x v="12"/>
  </r>
  <r>
    <x v="11"/>
  </r>
  <r>
    <x v="12"/>
  </r>
  <r>
    <x v="117"/>
  </r>
  <r>
    <x v="118"/>
  </r>
  <r>
    <x v="12"/>
  </r>
  <r>
    <x v="18"/>
  </r>
  <r>
    <x v="32"/>
  </r>
  <r>
    <x v="119"/>
  </r>
  <r>
    <x v="120"/>
  </r>
  <r>
    <x v="37"/>
  </r>
  <r>
    <x v="12"/>
  </r>
  <r>
    <x v="11"/>
  </r>
  <r>
    <x v="53"/>
  </r>
  <r>
    <x v="64"/>
  </r>
  <r>
    <x v="23"/>
  </r>
  <r>
    <x v="12"/>
  </r>
  <r>
    <x v="8"/>
  </r>
  <r>
    <x v="19"/>
  </r>
  <r>
    <x v="30"/>
  </r>
  <r>
    <x v="38"/>
  </r>
  <r>
    <x v="72"/>
  </r>
  <r>
    <x v="83"/>
  </r>
  <r>
    <x v="39"/>
  </r>
  <r>
    <x v="60"/>
  </r>
  <r>
    <x v="36"/>
  </r>
  <r>
    <x v="30"/>
  </r>
  <r>
    <x v="12"/>
  </r>
  <r>
    <x v="91"/>
  </r>
  <r>
    <x v="73"/>
  </r>
  <r>
    <x v="40"/>
  </r>
  <r>
    <x v="77"/>
  </r>
  <r>
    <x v="31"/>
  </r>
  <r>
    <x v="16"/>
  </r>
  <r>
    <x v="12"/>
  </r>
  <r>
    <x v="11"/>
  </r>
  <r>
    <x v="68"/>
  </r>
  <r>
    <x v="13"/>
  </r>
  <r>
    <x v="27"/>
  </r>
  <r>
    <x v="18"/>
  </r>
  <r>
    <x v="62"/>
  </r>
  <r>
    <x v="77"/>
  </r>
  <r>
    <x v="2"/>
  </r>
  <r>
    <x v="34"/>
  </r>
  <r>
    <x v="6"/>
  </r>
  <r>
    <x v="30"/>
  </r>
  <r>
    <x v="2"/>
  </r>
  <r>
    <x v="76"/>
  </r>
  <r>
    <x v="12"/>
  </r>
  <r>
    <x v="18"/>
  </r>
  <r>
    <x v="39"/>
  </r>
  <r>
    <x v="26"/>
  </r>
  <r>
    <x v="77"/>
  </r>
  <r>
    <x v="8"/>
  </r>
  <r>
    <x v="8"/>
  </r>
  <r>
    <x v="11"/>
  </r>
  <r>
    <x v="19"/>
  </r>
  <r>
    <x v="12"/>
  </r>
  <r>
    <x v="9"/>
  </r>
  <r>
    <x v="66"/>
  </r>
  <r>
    <x v="121"/>
  </r>
  <r>
    <x v="39"/>
  </r>
  <r>
    <x v="12"/>
  </r>
  <r>
    <x v="34"/>
  </r>
  <r>
    <x v="55"/>
  </r>
  <r>
    <x v="18"/>
  </r>
  <r>
    <x v="122"/>
  </r>
  <r>
    <x v="11"/>
  </r>
  <r>
    <x v="20"/>
  </r>
  <r>
    <x v="108"/>
  </r>
  <r>
    <x v="84"/>
  </r>
  <r>
    <x v="18"/>
  </r>
  <r>
    <x v="12"/>
  </r>
  <r>
    <x v="78"/>
  </r>
  <r>
    <x v="123"/>
  </r>
  <r>
    <x v="64"/>
  </r>
  <r>
    <x v="12"/>
  </r>
  <r>
    <x v="113"/>
  </r>
  <r>
    <x v="12"/>
  </r>
  <r>
    <x v="2"/>
  </r>
  <r>
    <x v="26"/>
  </r>
  <r>
    <x v="124"/>
  </r>
  <r>
    <x v="76"/>
  </r>
  <r>
    <x v="40"/>
  </r>
  <r>
    <x v="25"/>
  </r>
  <r>
    <x v="77"/>
  </r>
  <r>
    <x v="46"/>
  </r>
  <r>
    <x v="121"/>
  </r>
  <r>
    <x v="55"/>
  </r>
  <r>
    <x v="18"/>
  </r>
  <r>
    <x v="30"/>
  </r>
  <r>
    <x v="48"/>
  </r>
  <r>
    <x v="13"/>
  </r>
  <r>
    <x v="30"/>
  </r>
  <r>
    <x v="34"/>
  </r>
  <r>
    <x v="125"/>
  </r>
  <r>
    <x v="31"/>
  </r>
  <r>
    <x v="13"/>
  </r>
  <r>
    <x v="30"/>
  </r>
  <r>
    <x v="32"/>
  </r>
  <r>
    <x v="12"/>
  </r>
  <r>
    <x v="11"/>
  </r>
  <r>
    <x v="27"/>
  </r>
  <r>
    <x v="22"/>
  </r>
  <r>
    <x v="18"/>
  </r>
  <r>
    <x v="6"/>
  </r>
  <r>
    <x v="126"/>
  </r>
  <r>
    <x v="45"/>
  </r>
  <r>
    <x v="66"/>
  </r>
  <r>
    <x v="20"/>
  </r>
  <r>
    <x v="11"/>
  </r>
  <r>
    <x v="1"/>
  </r>
  <r>
    <x v="32"/>
  </r>
  <r>
    <x v="11"/>
  </r>
  <r>
    <x v="31"/>
  </r>
  <r>
    <x v="8"/>
  </r>
  <r>
    <x v="16"/>
  </r>
  <r>
    <x v="38"/>
  </r>
  <r>
    <x v="127"/>
  </r>
  <r>
    <x v="87"/>
  </r>
  <r>
    <x v="55"/>
  </r>
  <r>
    <x v="18"/>
  </r>
  <r>
    <x v="31"/>
  </r>
  <r>
    <x v="13"/>
  </r>
  <r>
    <x v="18"/>
  </r>
  <r>
    <x v="11"/>
  </r>
  <r>
    <x v="38"/>
  </r>
  <r>
    <x v="18"/>
  </r>
  <r>
    <x v="87"/>
  </r>
  <r>
    <x v="61"/>
  </r>
  <r>
    <x v="1"/>
  </r>
  <r>
    <x v="66"/>
  </r>
  <r>
    <x v="119"/>
  </r>
  <r>
    <x v="38"/>
  </r>
  <r>
    <x v="121"/>
  </r>
  <r>
    <x v="19"/>
  </r>
  <r>
    <x v="128"/>
  </r>
  <r>
    <x v="104"/>
  </r>
  <r>
    <x v="104"/>
  </r>
  <r>
    <x v="48"/>
  </r>
  <r>
    <x v="11"/>
  </r>
  <r>
    <x v="91"/>
  </r>
  <r>
    <x v="12"/>
  </r>
  <r>
    <x v="100"/>
  </r>
  <r>
    <x v="68"/>
  </r>
  <r>
    <x v="12"/>
  </r>
  <r>
    <x v="129"/>
  </r>
  <r>
    <x v="8"/>
  </r>
  <r>
    <x v="31"/>
  </r>
  <r>
    <x v="78"/>
  </r>
  <r>
    <x v="31"/>
  </r>
  <r>
    <x v="93"/>
  </r>
  <r>
    <x v="25"/>
  </r>
  <r>
    <x v="18"/>
  </r>
  <r>
    <x v="41"/>
  </r>
  <r>
    <x v="18"/>
  </r>
  <r>
    <x v="6"/>
  </r>
  <r>
    <x v="14"/>
  </r>
  <r>
    <x v="13"/>
  </r>
  <r>
    <x v="29"/>
  </r>
  <r>
    <x v="13"/>
  </r>
  <r>
    <x v="130"/>
  </r>
  <r>
    <x v="31"/>
  </r>
  <r>
    <x v="8"/>
  </r>
  <r>
    <x v="0"/>
  </r>
  <r>
    <x v="34"/>
  </r>
  <r>
    <x v="11"/>
  </r>
  <r>
    <x v="12"/>
  </r>
  <r>
    <x v="61"/>
  </r>
  <r>
    <x v="13"/>
  </r>
  <r>
    <x v="8"/>
  </r>
  <r>
    <x v="31"/>
  </r>
  <r>
    <x v="8"/>
  </r>
  <r>
    <x v="34"/>
  </r>
  <r>
    <x v="5"/>
  </r>
  <r>
    <x v="34"/>
  </r>
  <r>
    <x v="131"/>
  </r>
  <r>
    <x v="13"/>
  </r>
  <r>
    <x v="30"/>
  </r>
  <r>
    <x v="96"/>
  </r>
  <r>
    <x v="87"/>
  </r>
  <r>
    <x v="93"/>
  </r>
  <r>
    <x v="21"/>
  </r>
  <r>
    <x v="25"/>
  </r>
  <r>
    <x v="59"/>
  </r>
  <r>
    <x v="132"/>
  </r>
  <r>
    <x v="32"/>
  </r>
  <r>
    <x v="38"/>
  </r>
  <r>
    <x v="25"/>
  </r>
  <r>
    <x v="83"/>
  </r>
  <r>
    <x v="31"/>
  </r>
  <r>
    <x v="94"/>
  </r>
  <r>
    <x v="70"/>
  </r>
  <r>
    <x v="62"/>
  </r>
  <r>
    <x v="31"/>
  </r>
  <r>
    <x v="18"/>
  </r>
  <r>
    <x v="72"/>
  </r>
  <r>
    <x v="12"/>
  </r>
  <r>
    <x v="31"/>
  </r>
  <r>
    <x v="46"/>
  </r>
  <r>
    <x v="67"/>
  </r>
  <r>
    <x v="16"/>
  </r>
  <r>
    <x v="34"/>
  </r>
  <r>
    <x v="41"/>
  </r>
  <r>
    <x v="18"/>
  </r>
  <r>
    <x v="73"/>
  </r>
  <r>
    <x v="31"/>
  </r>
  <r>
    <x v="22"/>
  </r>
  <r>
    <x v="16"/>
  </r>
  <r>
    <x v="30"/>
  </r>
  <r>
    <x v="21"/>
  </r>
  <r>
    <x v="5"/>
  </r>
  <r>
    <x v="36"/>
  </r>
  <r>
    <x v="11"/>
  </r>
  <r>
    <x v="72"/>
  </r>
  <r>
    <x v="8"/>
  </r>
  <r>
    <x v="8"/>
  </r>
  <r>
    <x v="13"/>
  </r>
  <r>
    <x v="8"/>
  </r>
  <r>
    <x v="8"/>
  </r>
  <r>
    <x v="52"/>
  </r>
  <r>
    <x v="37"/>
  </r>
  <r>
    <x v="104"/>
  </r>
  <r>
    <x v="100"/>
  </r>
  <r>
    <x v="12"/>
  </r>
  <r>
    <x v="13"/>
  </r>
  <r>
    <x v="1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r>
  <r>
    <x v="1"/>
  </r>
  <r>
    <x v="2"/>
  </r>
  <r>
    <x v="3"/>
  </r>
  <r>
    <x v="4"/>
  </r>
  <r>
    <x v="5"/>
  </r>
  <r>
    <x v="6"/>
  </r>
  <r>
    <x v="7"/>
  </r>
  <r>
    <x v="8"/>
  </r>
  <r>
    <x v="9"/>
  </r>
  <r>
    <x v="6"/>
  </r>
  <r>
    <x v="10"/>
  </r>
  <r>
    <x v="4"/>
  </r>
  <r>
    <x v="11"/>
  </r>
  <r>
    <x v="4"/>
  </r>
  <r>
    <x v="7"/>
  </r>
  <r>
    <x v="12"/>
  </r>
  <r>
    <x v="7"/>
  </r>
  <r>
    <x v="4"/>
  </r>
  <r>
    <x v="13"/>
  </r>
  <r>
    <x v="6"/>
  </r>
  <r>
    <x v="14"/>
  </r>
  <r>
    <x v="14"/>
  </r>
  <r>
    <x v="11"/>
  </r>
  <r>
    <x v="5"/>
  </r>
  <r>
    <x v="12"/>
  </r>
  <r>
    <x v="4"/>
  </r>
  <r>
    <x v="14"/>
  </r>
  <r>
    <x v="15"/>
  </r>
  <r>
    <x v="5"/>
  </r>
  <r>
    <x v="5"/>
  </r>
  <r>
    <x v="10"/>
  </r>
  <r>
    <x v="11"/>
  </r>
  <r>
    <x v="10"/>
  </r>
  <r>
    <x v="14"/>
  </r>
  <r>
    <x v="11"/>
  </r>
  <r>
    <x v="5"/>
  </r>
  <r>
    <x v="15"/>
  </r>
  <r>
    <x v="4"/>
  </r>
  <r>
    <x v="6"/>
  </r>
  <r>
    <x v="10"/>
  </r>
  <r>
    <x v="7"/>
  </r>
  <r>
    <x v="7"/>
  </r>
  <r>
    <x v="16"/>
  </r>
  <r>
    <x v="8"/>
  </r>
  <r>
    <x v="3"/>
  </r>
  <r>
    <x v="15"/>
  </r>
  <r>
    <x v="4"/>
  </r>
  <r>
    <x v="6"/>
  </r>
  <r>
    <x v="10"/>
  </r>
  <r>
    <x v="6"/>
  </r>
  <r>
    <x v="4"/>
  </r>
  <r>
    <x v="4"/>
  </r>
  <r>
    <x v="13"/>
  </r>
  <r>
    <x v="13"/>
  </r>
  <r>
    <x v="7"/>
  </r>
  <r>
    <x v="7"/>
  </r>
  <r>
    <x v="17"/>
  </r>
  <r>
    <x v="15"/>
  </r>
  <r>
    <x v="7"/>
  </r>
  <r>
    <x v="7"/>
  </r>
  <r>
    <x v="12"/>
  </r>
  <r>
    <x v="12"/>
  </r>
  <r>
    <x v="15"/>
  </r>
  <r>
    <x v="13"/>
  </r>
  <r>
    <x v="17"/>
  </r>
  <r>
    <x v="12"/>
  </r>
  <r>
    <x v="11"/>
  </r>
  <r>
    <x v="4"/>
  </r>
  <r>
    <x v="7"/>
  </r>
  <r>
    <x v="10"/>
  </r>
  <r>
    <x v="10"/>
  </r>
  <r>
    <x v="14"/>
  </r>
  <r>
    <x v="11"/>
  </r>
  <r>
    <x v="10"/>
  </r>
  <r>
    <x v="7"/>
  </r>
  <r>
    <x v="17"/>
  </r>
  <r>
    <x v="7"/>
  </r>
  <r>
    <x v="3"/>
  </r>
  <r>
    <x v="13"/>
  </r>
  <r>
    <x v="17"/>
  </r>
  <r>
    <x v="13"/>
  </r>
  <r>
    <x v="17"/>
  </r>
  <r>
    <x v="13"/>
  </r>
  <r>
    <x v="7"/>
  </r>
  <r>
    <x v="17"/>
  </r>
  <r>
    <x v="7"/>
  </r>
  <r>
    <x v="7"/>
  </r>
  <r>
    <x v="7"/>
  </r>
  <r>
    <x v="13"/>
  </r>
  <r>
    <x v="12"/>
  </r>
  <r>
    <x v="12"/>
  </r>
  <r>
    <x v="11"/>
  </r>
  <r>
    <x v="7"/>
  </r>
  <r>
    <x v="10"/>
  </r>
  <r>
    <x v="2"/>
  </r>
  <r>
    <x v="14"/>
  </r>
  <r>
    <x v="6"/>
  </r>
  <r>
    <x v="13"/>
  </r>
  <r>
    <x v="7"/>
  </r>
  <r>
    <x v="12"/>
  </r>
  <r>
    <x v="7"/>
  </r>
  <r>
    <x v="7"/>
  </r>
  <r>
    <x v="11"/>
  </r>
  <r>
    <x v="11"/>
  </r>
  <r>
    <x v="12"/>
  </r>
  <r>
    <x v="12"/>
  </r>
  <r>
    <x v="4"/>
  </r>
  <r>
    <x v="12"/>
  </r>
  <r>
    <x v="4"/>
  </r>
  <r>
    <x v="7"/>
  </r>
  <r>
    <x v="11"/>
  </r>
  <r>
    <x v="12"/>
  </r>
  <r>
    <x v="7"/>
  </r>
  <r>
    <x v="4"/>
  </r>
  <r>
    <x v="11"/>
  </r>
  <r>
    <x v="4"/>
  </r>
  <r>
    <x v="13"/>
  </r>
  <r>
    <x v="4"/>
  </r>
  <r>
    <x v="11"/>
  </r>
  <r>
    <x v="7"/>
  </r>
  <r>
    <x v="17"/>
  </r>
  <r>
    <x v="17"/>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A53F4A-CF46-4F00-8262-FA27BEB11BCA}" name="Tableau croisé dynamique5"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L131:O136" firstHeaderRow="0" firstDataRow="1" firstDataCol="1"/>
  <pivotFields count="1">
    <pivotField axis="axisRow" dataField="1" showAll="0">
      <items count="7">
        <item x="0"/>
        <item x="1"/>
        <item x="2"/>
        <item x="3"/>
        <item x="4"/>
        <item x="5"/>
        <item t="default"/>
      </items>
    </pivotField>
  </pivotFields>
  <rowFields count="1">
    <field x="0"/>
  </rowFields>
  <rowItems count="5">
    <i>
      <x v="1"/>
    </i>
    <i>
      <x v="2"/>
    </i>
    <i>
      <x v="3"/>
    </i>
    <i>
      <x v="4"/>
    </i>
    <i t="grand">
      <x/>
    </i>
  </rowItems>
  <colFields count="1">
    <field x="-2"/>
  </colFields>
  <colItems count="3">
    <i>
      <x/>
    </i>
    <i i="1">
      <x v="1"/>
    </i>
    <i i="2">
      <x v="2"/>
    </i>
  </colItems>
  <dataFields count="3">
    <dataField name="Nombre de nombre de commandes" fld="0" subtotal="count" baseField="0" baseItem="0"/>
    <dataField name="Nombre de nombre de commandes2" fld="0" subtotal="count" showDataAs="percentOfTotal" baseField="0" baseItem="0" numFmtId="10"/>
    <dataField name="Nombre de nombre de commandes3" fld="0" subtotal="count" baseField="0" baseItem="1"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241FA-CA56-424A-9AA5-496C2F809C32}"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Prix de la commande">
  <location ref="L11:O29" firstHeaderRow="0" firstDataRow="1" firstDataCol="1"/>
  <pivotFields count="1">
    <pivotField axis="axisRow" dataField="1" showAll="0">
      <items count="30">
        <item h="1"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0"/>
  </rowFields>
  <rowItems count="18">
    <i>
      <x v="1"/>
    </i>
    <i>
      <x v="2"/>
    </i>
    <i>
      <x v="3"/>
    </i>
    <i>
      <x v="4"/>
    </i>
    <i>
      <x v="5"/>
    </i>
    <i>
      <x v="6"/>
    </i>
    <i>
      <x v="7"/>
    </i>
    <i>
      <x v="8"/>
    </i>
    <i>
      <x v="9"/>
    </i>
    <i>
      <x v="10"/>
    </i>
    <i>
      <x v="11"/>
    </i>
    <i>
      <x v="12"/>
    </i>
    <i>
      <x v="13"/>
    </i>
    <i>
      <x v="14"/>
    </i>
    <i>
      <x v="15"/>
    </i>
    <i>
      <x v="16"/>
    </i>
    <i>
      <x v="27"/>
    </i>
    <i t="grand">
      <x/>
    </i>
  </rowItems>
  <colFields count="1">
    <field x="-2"/>
  </colFields>
  <colItems count="3">
    <i>
      <x/>
    </i>
    <i i="1">
      <x v="1"/>
    </i>
    <i i="2">
      <x v="2"/>
    </i>
  </colItems>
  <dataFields count="3">
    <dataField name="Nombre de TOTAL_Commande" fld="0" subtotal="count" baseField="0" baseItem="0"/>
    <dataField name="Fréquence du prix de la commande" fld="0" subtotal="count" showDataAs="percentOfTotal" baseField="0" baseItem="0" numFmtId="10"/>
    <dataField name="fréquence cumulé du prix de la commande" fld="0" subtotal="count" baseField="0" baseItem="1"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32"/>
  <sheetViews>
    <sheetView workbookViewId="0"/>
  </sheetViews>
  <sheetFormatPr baseColWidth="10" defaultRowHeight="14.4" x14ac:dyDescent="0.3"/>
  <cols>
    <col min="9" max="9" width="23.88671875" bestFit="1" customWidth="1"/>
  </cols>
  <sheetData>
    <row r="1" spans="1:32" x14ac:dyDescent="0.3">
      <c r="A1" t="s">
        <v>0</v>
      </c>
      <c r="B1" t="s">
        <v>1</v>
      </c>
      <c r="C1" t="s">
        <v>2</v>
      </c>
      <c r="D1" t="s">
        <v>3</v>
      </c>
      <c r="E1" t="s">
        <v>4</v>
      </c>
      <c r="F1" t="s">
        <v>1</v>
      </c>
      <c r="G1" t="s">
        <v>2</v>
      </c>
      <c r="H1" t="s">
        <v>5</v>
      </c>
      <c r="I1" t="s">
        <v>10</v>
      </c>
      <c r="K1">
        <v>2022</v>
      </c>
      <c r="L1">
        <v>2023</v>
      </c>
      <c r="M1">
        <v>2024</v>
      </c>
      <c r="N1" t="s">
        <v>11</v>
      </c>
      <c r="P1">
        <v>2022</v>
      </c>
      <c r="Q1" t="s">
        <v>6</v>
      </c>
      <c r="R1" t="s">
        <v>7</v>
      </c>
      <c r="S1" t="s">
        <v>8</v>
      </c>
      <c r="T1" t="s">
        <v>9</v>
      </c>
      <c r="V1">
        <v>2023</v>
      </c>
      <c r="W1" t="s">
        <v>6</v>
      </c>
      <c r="X1" t="s">
        <v>7</v>
      </c>
      <c r="Y1" t="s">
        <v>8</v>
      </c>
      <c r="Z1" t="s">
        <v>9</v>
      </c>
      <c r="AB1">
        <v>2024</v>
      </c>
      <c r="AC1" t="s">
        <v>6</v>
      </c>
      <c r="AD1" t="s">
        <v>7</v>
      </c>
      <c r="AE1" t="s">
        <v>8</v>
      </c>
      <c r="AF1" t="s">
        <v>9</v>
      </c>
    </row>
    <row r="2" spans="1:32" x14ac:dyDescent="0.3">
      <c r="A2">
        <v>583</v>
      </c>
      <c r="B2">
        <v>10</v>
      </c>
      <c r="C2" t="s">
        <v>6</v>
      </c>
      <c r="D2">
        <v>3</v>
      </c>
      <c r="E2">
        <v>2022</v>
      </c>
      <c r="F2">
        <v>10</v>
      </c>
      <c r="G2" t="s">
        <v>6</v>
      </c>
      <c r="H2">
        <v>7.4</v>
      </c>
      <c r="I2">
        <f>D2*H2</f>
        <v>22.200000000000003</v>
      </c>
      <c r="K2" s="1">
        <f>SUMIF(E:E,"=2022",I:I)</f>
        <v>2051.0000000000036</v>
      </c>
      <c r="L2" s="1">
        <f>SUMIF(E:E,"=2023",I:I)</f>
        <v>3351.699999999998</v>
      </c>
      <c r="M2" s="1">
        <f>SUMIF(E:E,"=2024",I:I)</f>
        <v>3063.6999999999975</v>
      </c>
      <c r="N2" s="1">
        <f>SUM(I:I)</f>
        <v>8466.400000000016</v>
      </c>
      <c r="Q2" s="1">
        <f>SUMIFS(I:I,E:E,"=2022",G:G,"=G")</f>
        <v>1032.1999999999994</v>
      </c>
      <c r="R2" s="1">
        <f>SUMIFS(I:I,E:E,"=2022",G:G,"=M")</f>
        <v>911.50000000000091</v>
      </c>
      <c r="S2" s="1">
        <f>SUMIFS(I:I,E:E,"=2022",G:G,"=S")</f>
        <v>107.3</v>
      </c>
      <c r="T2" s="1">
        <f>SUMIFS(I:I,E:E,"=2022",G:G,"=XL")</f>
        <v>0</v>
      </c>
      <c r="W2" s="1">
        <f>SUMIFS(I:I,E:E,"=2023",G:G,"=G")</f>
        <v>1668.2000000000021</v>
      </c>
      <c r="X2" s="1">
        <f>SUMIFS(I:I,E:E,"=2023",G:G,"=M")</f>
        <v>1379.3999999999983</v>
      </c>
      <c r="Y2" s="1">
        <f>SUMIFS(I:I,E:E,"=2023",G:G,"=S")</f>
        <v>191.79999999999995</v>
      </c>
      <c r="Z2" s="1">
        <f>SUMIFS(I:I,E:E,"=2023",G:G,"=XL")</f>
        <v>112.3</v>
      </c>
      <c r="AC2" s="1">
        <f>SUMIFS(I:I,E:E,"=2024",G:G,"=G")</f>
        <v>1485.9999999999998</v>
      </c>
      <c r="AD2" s="1">
        <f>SUMIFS(I:I,E:E,"=2024",G:G,"=M")</f>
        <v>1177.6999999999996</v>
      </c>
      <c r="AE2" s="1">
        <f>SUMIFS(I:I,E:E,"=2024",G:G,"=S")</f>
        <v>173.09999999999997</v>
      </c>
      <c r="AF2" s="1">
        <f>SUMIFS(I:I,E:E,"=2024",G:G,"=XL")</f>
        <v>226.89999999999998</v>
      </c>
    </row>
    <row r="3" spans="1:32" x14ac:dyDescent="0.3">
      <c r="A3">
        <v>584</v>
      </c>
      <c r="B3">
        <v>11</v>
      </c>
      <c r="C3" t="s">
        <v>6</v>
      </c>
      <c r="D3">
        <v>1</v>
      </c>
      <c r="E3">
        <v>2022</v>
      </c>
      <c r="F3">
        <v>11</v>
      </c>
      <c r="G3" t="s">
        <v>6</v>
      </c>
      <c r="H3">
        <v>7.4</v>
      </c>
      <c r="I3">
        <f t="shared" ref="I3:I66" si="0">D3*H3</f>
        <v>7.4</v>
      </c>
      <c r="N3" s="1"/>
      <c r="P3" s="1"/>
      <c r="Q3" t="s">
        <v>6</v>
      </c>
      <c r="R3" t="s">
        <v>7</v>
      </c>
      <c r="S3" t="s">
        <v>8</v>
      </c>
      <c r="T3" t="s">
        <v>9</v>
      </c>
      <c r="V3" s="1"/>
      <c r="AB3" s="1"/>
    </row>
    <row r="4" spans="1:32" x14ac:dyDescent="0.3">
      <c r="A4">
        <v>585</v>
      </c>
      <c r="B4">
        <v>7</v>
      </c>
      <c r="C4" t="s">
        <v>7</v>
      </c>
      <c r="D4">
        <v>1</v>
      </c>
      <c r="E4">
        <v>2022</v>
      </c>
      <c r="F4">
        <v>7</v>
      </c>
      <c r="G4" t="s">
        <v>7</v>
      </c>
      <c r="H4">
        <v>5.2</v>
      </c>
      <c r="I4">
        <f t="shared" si="0"/>
        <v>5.2</v>
      </c>
      <c r="M4" s="1">
        <f>L2-K2</f>
        <v>1300.6999999999944</v>
      </c>
      <c r="P4" t="s">
        <v>11</v>
      </c>
      <c r="Q4" s="1">
        <f>SUMIF(G:G,"=G",I:I)</f>
        <v>4186.3999999999996</v>
      </c>
      <c r="R4" s="1">
        <f>SUMIF(G:G,"=M",I:I)</f>
        <v>3468.5999999999967</v>
      </c>
      <c r="S4" s="1">
        <f>SUMIF(G:G,"=S",I:I)</f>
        <v>472.19999999999993</v>
      </c>
      <c r="T4" s="1">
        <f>SUMIF(G:G,"=XL",I:I)</f>
        <v>339.20000000000005</v>
      </c>
    </row>
    <row r="5" spans="1:32" x14ac:dyDescent="0.3">
      <c r="A5">
        <v>585</v>
      </c>
      <c r="B5">
        <v>12</v>
      </c>
      <c r="C5" t="s">
        <v>7</v>
      </c>
      <c r="D5">
        <v>1</v>
      </c>
      <c r="E5">
        <v>2022</v>
      </c>
      <c r="F5">
        <v>12</v>
      </c>
      <c r="G5" t="s">
        <v>7</v>
      </c>
      <c r="H5">
        <v>5.2</v>
      </c>
      <c r="I5">
        <f t="shared" si="0"/>
        <v>5.2</v>
      </c>
    </row>
    <row r="6" spans="1:32" x14ac:dyDescent="0.3">
      <c r="A6">
        <v>586</v>
      </c>
      <c r="B6">
        <v>9</v>
      </c>
      <c r="C6" t="s">
        <v>7</v>
      </c>
      <c r="D6">
        <v>1</v>
      </c>
      <c r="E6">
        <v>2022</v>
      </c>
      <c r="F6">
        <v>9</v>
      </c>
      <c r="G6" t="s">
        <v>7</v>
      </c>
      <c r="H6">
        <v>5.0999999999999996</v>
      </c>
      <c r="I6">
        <f t="shared" si="0"/>
        <v>5.0999999999999996</v>
      </c>
      <c r="Q6" s="1"/>
    </row>
    <row r="7" spans="1:32" x14ac:dyDescent="0.3">
      <c r="A7">
        <v>587</v>
      </c>
      <c r="B7">
        <v>11</v>
      </c>
      <c r="C7" t="s">
        <v>7</v>
      </c>
      <c r="D7">
        <v>3</v>
      </c>
      <c r="E7">
        <v>2022</v>
      </c>
      <c r="F7">
        <v>11</v>
      </c>
      <c r="G7" t="s">
        <v>7</v>
      </c>
      <c r="H7">
        <v>5.2</v>
      </c>
      <c r="I7">
        <f t="shared" si="0"/>
        <v>15.600000000000001</v>
      </c>
    </row>
    <row r="8" spans="1:32" x14ac:dyDescent="0.3">
      <c r="A8">
        <v>588</v>
      </c>
      <c r="B8">
        <v>12</v>
      </c>
      <c r="C8" t="s">
        <v>6</v>
      </c>
      <c r="D8">
        <v>1</v>
      </c>
      <c r="E8">
        <v>2022</v>
      </c>
      <c r="F8">
        <v>12</v>
      </c>
      <c r="G8" t="s">
        <v>6</v>
      </c>
      <c r="H8">
        <v>7.4</v>
      </c>
      <c r="I8">
        <f t="shared" si="0"/>
        <v>7.4</v>
      </c>
    </row>
    <row r="9" spans="1:32" x14ac:dyDescent="0.3">
      <c r="A9">
        <v>589</v>
      </c>
      <c r="B9">
        <v>7</v>
      </c>
      <c r="C9" t="s">
        <v>7</v>
      </c>
      <c r="D9">
        <v>2</v>
      </c>
      <c r="E9">
        <v>2022</v>
      </c>
      <c r="F9">
        <v>7</v>
      </c>
      <c r="G9" t="s">
        <v>7</v>
      </c>
      <c r="H9">
        <v>5.2</v>
      </c>
      <c r="I9">
        <f t="shared" si="0"/>
        <v>10.4</v>
      </c>
    </row>
    <row r="10" spans="1:32" x14ac:dyDescent="0.3">
      <c r="A10">
        <v>590</v>
      </c>
      <c r="B10">
        <v>2</v>
      </c>
      <c r="C10" t="s">
        <v>7</v>
      </c>
      <c r="D10">
        <v>2</v>
      </c>
      <c r="E10">
        <v>2022</v>
      </c>
      <c r="F10">
        <v>2</v>
      </c>
      <c r="G10" t="s">
        <v>7</v>
      </c>
      <c r="H10">
        <v>4.9000000000000004</v>
      </c>
      <c r="I10">
        <f t="shared" si="0"/>
        <v>9.8000000000000007</v>
      </c>
    </row>
    <row r="11" spans="1:32" x14ac:dyDescent="0.3">
      <c r="A11">
        <v>591</v>
      </c>
      <c r="B11">
        <v>5</v>
      </c>
      <c r="C11" t="s">
        <v>6</v>
      </c>
      <c r="D11">
        <v>1</v>
      </c>
      <c r="E11">
        <v>2022</v>
      </c>
      <c r="F11">
        <v>5</v>
      </c>
      <c r="G11" t="s">
        <v>6</v>
      </c>
      <c r="H11">
        <v>7.4</v>
      </c>
      <c r="I11">
        <f t="shared" si="0"/>
        <v>7.4</v>
      </c>
    </row>
    <row r="12" spans="1:32" x14ac:dyDescent="0.3">
      <c r="A12">
        <v>592</v>
      </c>
      <c r="B12">
        <v>3</v>
      </c>
      <c r="C12" t="s">
        <v>7</v>
      </c>
      <c r="D12">
        <v>1</v>
      </c>
      <c r="E12">
        <v>2022</v>
      </c>
      <c r="F12">
        <v>3</v>
      </c>
      <c r="G12" t="s">
        <v>7</v>
      </c>
      <c r="H12">
        <v>4.9000000000000004</v>
      </c>
      <c r="I12">
        <f t="shared" si="0"/>
        <v>4.9000000000000004</v>
      </c>
    </row>
    <row r="13" spans="1:32" x14ac:dyDescent="0.3">
      <c r="A13">
        <v>593</v>
      </c>
      <c r="B13">
        <v>9</v>
      </c>
      <c r="C13" t="s">
        <v>6</v>
      </c>
      <c r="D13">
        <v>1</v>
      </c>
      <c r="E13">
        <v>2022</v>
      </c>
      <c r="F13">
        <v>9</v>
      </c>
      <c r="G13" t="s">
        <v>6</v>
      </c>
      <c r="H13">
        <v>7.6</v>
      </c>
      <c r="I13">
        <f t="shared" si="0"/>
        <v>7.6</v>
      </c>
    </row>
    <row r="14" spans="1:32" x14ac:dyDescent="0.3">
      <c r="A14">
        <v>594</v>
      </c>
      <c r="B14">
        <v>11</v>
      </c>
      <c r="C14" t="s">
        <v>8</v>
      </c>
      <c r="D14">
        <v>2</v>
      </c>
      <c r="E14">
        <v>2022</v>
      </c>
      <c r="F14">
        <v>11</v>
      </c>
      <c r="G14" t="s">
        <v>8</v>
      </c>
      <c r="H14">
        <v>4</v>
      </c>
      <c r="I14">
        <f t="shared" si="0"/>
        <v>8</v>
      </c>
    </row>
    <row r="15" spans="1:32" x14ac:dyDescent="0.3">
      <c r="A15">
        <v>595</v>
      </c>
      <c r="B15">
        <v>12</v>
      </c>
      <c r="C15" t="s">
        <v>7</v>
      </c>
      <c r="D15">
        <v>1</v>
      </c>
      <c r="E15">
        <v>2022</v>
      </c>
      <c r="F15">
        <v>12</v>
      </c>
      <c r="G15" t="s">
        <v>7</v>
      </c>
      <c r="H15">
        <v>5.2</v>
      </c>
      <c r="I15">
        <f t="shared" si="0"/>
        <v>5.2</v>
      </c>
    </row>
    <row r="16" spans="1:32" x14ac:dyDescent="0.3">
      <c r="A16">
        <v>596</v>
      </c>
      <c r="B16">
        <v>7</v>
      </c>
      <c r="C16" t="s">
        <v>6</v>
      </c>
      <c r="D16">
        <v>1</v>
      </c>
      <c r="E16">
        <v>2022</v>
      </c>
      <c r="F16">
        <v>7</v>
      </c>
      <c r="G16" t="s">
        <v>6</v>
      </c>
      <c r="H16">
        <v>7.4</v>
      </c>
      <c r="I16">
        <f t="shared" si="0"/>
        <v>7.4</v>
      </c>
    </row>
    <row r="17" spans="1:9" x14ac:dyDescent="0.3">
      <c r="A17">
        <v>597</v>
      </c>
      <c r="B17">
        <v>2</v>
      </c>
      <c r="C17" t="s">
        <v>7</v>
      </c>
      <c r="D17">
        <v>1</v>
      </c>
      <c r="E17">
        <v>2022</v>
      </c>
      <c r="F17">
        <v>2</v>
      </c>
      <c r="G17" t="s">
        <v>7</v>
      </c>
      <c r="H17">
        <v>4.9000000000000004</v>
      </c>
      <c r="I17">
        <f t="shared" si="0"/>
        <v>4.9000000000000004</v>
      </c>
    </row>
    <row r="18" spans="1:9" x14ac:dyDescent="0.3">
      <c r="A18">
        <v>598</v>
      </c>
      <c r="B18">
        <v>5</v>
      </c>
      <c r="C18" t="s">
        <v>7</v>
      </c>
      <c r="D18">
        <v>2</v>
      </c>
      <c r="E18">
        <v>2022</v>
      </c>
      <c r="F18">
        <v>5</v>
      </c>
      <c r="G18" t="s">
        <v>7</v>
      </c>
      <c r="H18">
        <v>5.2</v>
      </c>
      <c r="I18">
        <f t="shared" si="0"/>
        <v>10.4</v>
      </c>
    </row>
    <row r="19" spans="1:9" x14ac:dyDescent="0.3">
      <c r="A19">
        <v>599</v>
      </c>
      <c r="B19">
        <v>3</v>
      </c>
      <c r="C19" t="s">
        <v>6</v>
      </c>
      <c r="D19">
        <v>2</v>
      </c>
      <c r="E19">
        <v>2022</v>
      </c>
      <c r="F19">
        <v>3</v>
      </c>
      <c r="G19" t="s">
        <v>6</v>
      </c>
      <c r="H19">
        <v>6.5</v>
      </c>
      <c r="I19">
        <f t="shared" si="0"/>
        <v>13</v>
      </c>
    </row>
    <row r="20" spans="1:9" x14ac:dyDescent="0.3">
      <c r="A20">
        <v>600</v>
      </c>
      <c r="B20">
        <v>7</v>
      </c>
      <c r="C20" t="s">
        <v>7</v>
      </c>
      <c r="D20">
        <v>1</v>
      </c>
      <c r="E20">
        <v>2022</v>
      </c>
      <c r="F20">
        <v>7</v>
      </c>
      <c r="G20" t="s">
        <v>7</v>
      </c>
      <c r="H20">
        <v>5.2</v>
      </c>
      <c r="I20">
        <f t="shared" si="0"/>
        <v>5.2</v>
      </c>
    </row>
    <row r="21" spans="1:9" x14ac:dyDescent="0.3">
      <c r="A21">
        <v>601</v>
      </c>
      <c r="B21">
        <v>6</v>
      </c>
      <c r="C21" t="s">
        <v>7</v>
      </c>
      <c r="D21">
        <v>1</v>
      </c>
      <c r="E21">
        <v>2022</v>
      </c>
      <c r="F21">
        <v>6</v>
      </c>
      <c r="G21" t="s">
        <v>7</v>
      </c>
      <c r="H21">
        <v>5.2</v>
      </c>
      <c r="I21">
        <f t="shared" si="0"/>
        <v>5.2</v>
      </c>
    </row>
    <row r="22" spans="1:9" x14ac:dyDescent="0.3">
      <c r="A22">
        <v>602</v>
      </c>
      <c r="B22">
        <v>1</v>
      </c>
      <c r="C22" t="s">
        <v>7</v>
      </c>
      <c r="D22">
        <v>1</v>
      </c>
      <c r="E22">
        <v>2022</v>
      </c>
      <c r="F22">
        <v>1</v>
      </c>
      <c r="G22" t="s">
        <v>7</v>
      </c>
      <c r="H22">
        <v>4.9000000000000004</v>
      </c>
      <c r="I22">
        <f t="shared" si="0"/>
        <v>4.9000000000000004</v>
      </c>
    </row>
    <row r="23" spans="1:9" x14ac:dyDescent="0.3">
      <c r="A23">
        <v>603</v>
      </c>
      <c r="B23">
        <v>8</v>
      </c>
      <c r="C23" t="s">
        <v>6</v>
      </c>
      <c r="D23">
        <v>1</v>
      </c>
      <c r="E23">
        <v>2022</v>
      </c>
      <c r="F23">
        <v>8</v>
      </c>
      <c r="G23" t="s">
        <v>6</v>
      </c>
      <c r="H23">
        <v>7.6</v>
      </c>
      <c r="I23">
        <f t="shared" si="0"/>
        <v>7.6</v>
      </c>
    </row>
    <row r="24" spans="1:9" x14ac:dyDescent="0.3">
      <c r="A24">
        <v>603</v>
      </c>
      <c r="B24">
        <v>12</v>
      </c>
      <c r="C24" t="s">
        <v>6</v>
      </c>
      <c r="D24">
        <v>1</v>
      </c>
      <c r="E24">
        <v>2022</v>
      </c>
      <c r="F24">
        <v>12</v>
      </c>
      <c r="G24" t="s">
        <v>6</v>
      </c>
      <c r="H24">
        <v>7.4</v>
      </c>
      <c r="I24">
        <f t="shared" si="0"/>
        <v>7.4</v>
      </c>
    </row>
    <row r="25" spans="1:9" x14ac:dyDescent="0.3">
      <c r="A25">
        <v>604</v>
      </c>
      <c r="B25">
        <v>9</v>
      </c>
      <c r="C25" t="s">
        <v>6</v>
      </c>
      <c r="D25">
        <v>1</v>
      </c>
      <c r="E25">
        <v>2022</v>
      </c>
      <c r="F25">
        <v>9</v>
      </c>
      <c r="G25" t="s">
        <v>6</v>
      </c>
      <c r="H25">
        <v>7.6</v>
      </c>
      <c r="I25">
        <f t="shared" si="0"/>
        <v>7.6</v>
      </c>
    </row>
    <row r="26" spans="1:9" x14ac:dyDescent="0.3">
      <c r="A26">
        <v>605</v>
      </c>
      <c r="B26">
        <v>10</v>
      </c>
      <c r="C26" t="s">
        <v>6</v>
      </c>
      <c r="D26">
        <v>2</v>
      </c>
      <c r="E26">
        <v>2022</v>
      </c>
      <c r="F26">
        <v>10</v>
      </c>
      <c r="G26" t="s">
        <v>6</v>
      </c>
      <c r="H26">
        <v>7.4</v>
      </c>
      <c r="I26">
        <f t="shared" si="0"/>
        <v>14.8</v>
      </c>
    </row>
    <row r="27" spans="1:9" x14ac:dyDescent="0.3">
      <c r="A27">
        <v>606</v>
      </c>
      <c r="B27">
        <v>7</v>
      </c>
      <c r="C27" t="s">
        <v>6</v>
      </c>
      <c r="D27">
        <v>1</v>
      </c>
      <c r="E27">
        <v>2022</v>
      </c>
      <c r="F27">
        <v>7</v>
      </c>
      <c r="G27" t="s">
        <v>6</v>
      </c>
      <c r="H27">
        <v>7.4</v>
      </c>
      <c r="I27">
        <f t="shared" si="0"/>
        <v>7.4</v>
      </c>
    </row>
    <row r="28" spans="1:9" x14ac:dyDescent="0.3">
      <c r="A28">
        <v>607</v>
      </c>
      <c r="B28">
        <v>9</v>
      </c>
      <c r="C28" t="s">
        <v>7</v>
      </c>
      <c r="D28">
        <v>1</v>
      </c>
      <c r="E28">
        <v>2022</v>
      </c>
      <c r="F28">
        <v>9</v>
      </c>
      <c r="G28" t="s">
        <v>7</v>
      </c>
      <c r="H28">
        <v>5.0999999999999996</v>
      </c>
      <c r="I28">
        <f t="shared" si="0"/>
        <v>5.0999999999999996</v>
      </c>
    </row>
    <row r="29" spans="1:9" x14ac:dyDescent="0.3">
      <c r="A29">
        <v>608</v>
      </c>
      <c r="B29">
        <v>2</v>
      </c>
      <c r="C29" t="s">
        <v>7</v>
      </c>
      <c r="D29">
        <v>1</v>
      </c>
      <c r="E29">
        <v>2022</v>
      </c>
      <c r="F29">
        <v>2</v>
      </c>
      <c r="G29" t="s">
        <v>7</v>
      </c>
      <c r="H29">
        <v>4.9000000000000004</v>
      </c>
      <c r="I29">
        <f t="shared" si="0"/>
        <v>4.9000000000000004</v>
      </c>
    </row>
    <row r="30" spans="1:9" x14ac:dyDescent="0.3">
      <c r="A30">
        <v>609</v>
      </c>
      <c r="B30">
        <v>4</v>
      </c>
      <c r="C30" t="s">
        <v>7</v>
      </c>
      <c r="D30">
        <v>1</v>
      </c>
      <c r="E30">
        <v>2022</v>
      </c>
      <c r="F30">
        <v>4</v>
      </c>
      <c r="G30" t="s">
        <v>7</v>
      </c>
      <c r="H30">
        <v>4.7</v>
      </c>
      <c r="I30">
        <f t="shared" si="0"/>
        <v>4.7</v>
      </c>
    </row>
    <row r="31" spans="1:9" x14ac:dyDescent="0.3">
      <c r="A31">
        <v>610</v>
      </c>
      <c r="B31">
        <v>8</v>
      </c>
      <c r="C31" t="s">
        <v>6</v>
      </c>
      <c r="D31">
        <v>1</v>
      </c>
      <c r="E31">
        <v>2022</v>
      </c>
      <c r="F31">
        <v>8</v>
      </c>
      <c r="G31" t="s">
        <v>6</v>
      </c>
      <c r="H31">
        <v>7.6</v>
      </c>
      <c r="I31">
        <f t="shared" si="0"/>
        <v>7.6</v>
      </c>
    </row>
    <row r="32" spans="1:9" x14ac:dyDescent="0.3">
      <c r="A32">
        <v>611</v>
      </c>
      <c r="B32">
        <v>10</v>
      </c>
      <c r="C32" t="s">
        <v>6</v>
      </c>
      <c r="D32">
        <v>1</v>
      </c>
      <c r="E32">
        <v>2022</v>
      </c>
      <c r="F32">
        <v>10</v>
      </c>
      <c r="G32" t="s">
        <v>6</v>
      </c>
      <c r="H32">
        <v>7.4</v>
      </c>
      <c r="I32">
        <f t="shared" si="0"/>
        <v>7.4</v>
      </c>
    </row>
    <row r="33" spans="1:9" x14ac:dyDescent="0.3">
      <c r="A33">
        <v>612</v>
      </c>
      <c r="B33">
        <v>1</v>
      </c>
      <c r="C33" t="s">
        <v>8</v>
      </c>
      <c r="D33">
        <v>2</v>
      </c>
      <c r="E33">
        <v>2022</v>
      </c>
      <c r="F33">
        <v>1</v>
      </c>
      <c r="G33" t="s">
        <v>8</v>
      </c>
      <c r="H33">
        <v>3.9</v>
      </c>
      <c r="I33">
        <f t="shared" si="0"/>
        <v>7.8</v>
      </c>
    </row>
    <row r="34" spans="1:9" x14ac:dyDescent="0.3">
      <c r="A34">
        <v>613</v>
      </c>
      <c r="B34">
        <v>9</v>
      </c>
      <c r="C34" t="s">
        <v>6</v>
      </c>
      <c r="D34">
        <v>1</v>
      </c>
      <c r="E34">
        <v>2022</v>
      </c>
      <c r="F34">
        <v>9</v>
      </c>
      <c r="G34" t="s">
        <v>6</v>
      </c>
      <c r="H34">
        <v>7.6</v>
      </c>
      <c r="I34">
        <f t="shared" si="0"/>
        <v>7.6</v>
      </c>
    </row>
    <row r="35" spans="1:9" x14ac:dyDescent="0.3">
      <c r="A35">
        <v>614</v>
      </c>
      <c r="B35">
        <v>2</v>
      </c>
      <c r="C35" t="s">
        <v>7</v>
      </c>
      <c r="D35">
        <v>1</v>
      </c>
      <c r="E35">
        <v>2022</v>
      </c>
      <c r="F35">
        <v>2</v>
      </c>
      <c r="G35" t="s">
        <v>7</v>
      </c>
      <c r="H35">
        <v>4.9000000000000004</v>
      </c>
      <c r="I35">
        <f t="shared" si="0"/>
        <v>4.9000000000000004</v>
      </c>
    </row>
    <row r="36" spans="1:9" x14ac:dyDescent="0.3">
      <c r="A36">
        <v>615</v>
      </c>
      <c r="B36">
        <v>1</v>
      </c>
      <c r="C36" t="s">
        <v>6</v>
      </c>
      <c r="D36">
        <v>1</v>
      </c>
      <c r="E36">
        <v>2022</v>
      </c>
      <c r="F36">
        <v>1</v>
      </c>
      <c r="G36" t="s">
        <v>6</v>
      </c>
      <c r="H36">
        <v>6.5</v>
      </c>
      <c r="I36">
        <f t="shared" si="0"/>
        <v>6.5</v>
      </c>
    </row>
    <row r="37" spans="1:9" x14ac:dyDescent="0.3">
      <c r="A37">
        <v>616</v>
      </c>
      <c r="B37">
        <v>5</v>
      </c>
      <c r="C37" t="s">
        <v>7</v>
      </c>
      <c r="D37">
        <v>1</v>
      </c>
      <c r="E37">
        <v>2022</v>
      </c>
      <c r="F37">
        <v>5</v>
      </c>
      <c r="G37" t="s">
        <v>7</v>
      </c>
      <c r="H37">
        <v>5.2</v>
      </c>
      <c r="I37">
        <f t="shared" si="0"/>
        <v>5.2</v>
      </c>
    </row>
    <row r="38" spans="1:9" x14ac:dyDescent="0.3">
      <c r="A38">
        <v>616</v>
      </c>
      <c r="B38">
        <v>6</v>
      </c>
      <c r="C38" t="s">
        <v>7</v>
      </c>
      <c r="D38">
        <v>1</v>
      </c>
      <c r="E38">
        <v>2022</v>
      </c>
      <c r="F38">
        <v>6</v>
      </c>
      <c r="G38" t="s">
        <v>7</v>
      </c>
      <c r="H38">
        <v>5.2</v>
      </c>
      <c r="I38">
        <f t="shared" si="0"/>
        <v>5.2</v>
      </c>
    </row>
    <row r="39" spans="1:9" x14ac:dyDescent="0.3">
      <c r="A39">
        <v>617</v>
      </c>
      <c r="B39">
        <v>9</v>
      </c>
      <c r="C39" t="s">
        <v>7</v>
      </c>
      <c r="D39">
        <v>2</v>
      </c>
      <c r="E39">
        <v>2022</v>
      </c>
      <c r="F39">
        <v>9</v>
      </c>
      <c r="G39" t="s">
        <v>7</v>
      </c>
      <c r="H39">
        <v>5.0999999999999996</v>
      </c>
      <c r="I39">
        <f t="shared" si="0"/>
        <v>10.199999999999999</v>
      </c>
    </row>
    <row r="40" spans="1:9" x14ac:dyDescent="0.3">
      <c r="A40">
        <v>617</v>
      </c>
      <c r="B40">
        <v>10</v>
      </c>
      <c r="C40" t="s">
        <v>7</v>
      </c>
      <c r="D40">
        <v>2</v>
      </c>
      <c r="E40">
        <v>2022</v>
      </c>
      <c r="F40">
        <v>10</v>
      </c>
      <c r="G40" t="s">
        <v>7</v>
      </c>
      <c r="H40">
        <v>5.2</v>
      </c>
      <c r="I40">
        <f t="shared" si="0"/>
        <v>10.4</v>
      </c>
    </row>
    <row r="41" spans="1:9" x14ac:dyDescent="0.3">
      <c r="A41">
        <v>618</v>
      </c>
      <c r="B41">
        <v>2</v>
      </c>
      <c r="C41" t="s">
        <v>7</v>
      </c>
      <c r="D41">
        <v>1</v>
      </c>
      <c r="E41">
        <v>2022</v>
      </c>
      <c r="F41">
        <v>2</v>
      </c>
      <c r="G41" t="s">
        <v>7</v>
      </c>
      <c r="H41">
        <v>4.9000000000000004</v>
      </c>
      <c r="I41">
        <f t="shared" si="0"/>
        <v>4.9000000000000004</v>
      </c>
    </row>
    <row r="42" spans="1:9" x14ac:dyDescent="0.3">
      <c r="A42">
        <v>619</v>
      </c>
      <c r="B42">
        <v>4</v>
      </c>
      <c r="C42" t="s">
        <v>6</v>
      </c>
      <c r="D42">
        <v>3</v>
      </c>
      <c r="E42">
        <v>2022</v>
      </c>
      <c r="F42">
        <v>4</v>
      </c>
      <c r="G42" t="s">
        <v>6</v>
      </c>
      <c r="H42">
        <v>6.5</v>
      </c>
      <c r="I42">
        <f t="shared" si="0"/>
        <v>19.5</v>
      </c>
    </row>
    <row r="43" spans="1:9" x14ac:dyDescent="0.3">
      <c r="A43">
        <v>620</v>
      </c>
      <c r="B43">
        <v>6</v>
      </c>
      <c r="C43" t="s">
        <v>6</v>
      </c>
      <c r="D43">
        <v>1</v>
      </c>
      <c r="E43">
        <v>2022</v>
      </c>
      <c r="F43">
        <v>6</v>
      </c>
      <c r="G43" t="s">
        <v>6</v>
      </c>
      <c r="H43">
        <v>7.4</v>
      </c>
      <c r="I43">
        <f t="shared" si="0"/>
        <v>7.4</v>
      </c>
    </row>
    <row r="44" spans="1:9" x14ac:dyDescent="0.3">
      <c r="A44">
        <v>621</v>
      </c>
      <c r="B44">
        <v>9</v>
      </c>
      <c r="C44" t="s">
        <v>6</v>
      </c>
      <c r="D44">
        <v>1</v>
      </c>
      <c r="E44">
        <v>2022</v>
      </c>
      <c r="F44">
        <v>9</v>
      </c>
      <c r="G44" t="s">
        <v>6</v>
      </c>
      <c r="H44">
        <v>7.6</v>
      </c>
      <c r="I44">
        <f t="shared" si="0"/>
        <v>7.6</v>
      </c>
    </row>
    <row r="45" spans="1:9" x14ac:dyDescent="0.3">
      <c r="A45">
        <v>621</v>
      </c>
      <c r="B45">
        <v>12</v>
      </c>
      <c r="C45" t="s">
        <v>6</v>
      </c>
      <c r="D45">
        <v>1</v>
      </c>
      <c r="E45">
        <v>2022</v>
      </c>
      <c r="F45">
        <v>12</v>
      </c>
      <c r="G45" t="s">
        <v>6</v>
      </c>
      <c r="H45">
        <v>7.4</v>
      </c>
      <c r="I45">
        <f t="shared" si="0"/>
        <v>7.4</v>
      </c>
    </row>
    <row r="46" spans="1:9" x14ac:dyDescent="0.3">
      <c r="A46">
        <v>622</v>
      </c>
      <c r="B46">
        <v>5</v>
      </c>
      <c r="C46" t="s">
        <v>7</v>
      </c>
      <c r="D46">
        <v>2</v>
      </c>
      <c r="E46">
        <v>2022</v>
      </c>
      <c r="F46">
        <v>5</v>
      </c>
      <c r="G46" t="s">
        <v>7</v>
      </c>
      <c r="H46">
        <v>5.2</v>
      </c>
      <c r="I46">
        <f t="shared" si="0"/>
        <v>10.4</v>
      </c>
    </row>
    <row r="47" spans="1:9" x14ac:dyDescent="0.3">
      <c r="A47">
        <v>622</v>
      </c>
      <c r="B47">
        <v>8</v>
      </c>
      <c r="C47" t="s">
        <v>7</v>
      </c>
      <c r="D47">
        <v>2</v>
      </c>
      <c r="E47">
        <v>2022</v>
      </c>
      <c r="F47">
        <v>8</v>
      </c>
      <c r="G47" t="s">
        <v>7</v>
      </c>
      <c r="H47">
        <v>5.0999999999999996</v>
      </c>
      <c r="I47">
        <f t="shared" si="0"/>
        <v>10.199999999999999</v>
      </c>
    </row>
    <row r="48" spans="1:9" x14ac:dyDescent="0.3">
      <c r="A48">
        <v>623</v>
      </c>
      <c r="B48">
        <v>6</v>
      </c>
      <c r="C48" t="s">
        <v>7</v>
      </c>
      <c r="D48">
        <v>1</v>
      </c>
      <c r="E48">
        <v>2022</v>
      </c>
      <c r="F48">
        <v>6</v>
      </c>
      <c r="G48" t="s">
        <v>7</v>
      </c>
      <c r="H48">
        <v>5.2</v>
      </c>
      <c r="I48">
        <f t="shared" si="0"/>
        <v>5.2</v>
      </c>
    </row>
    <row r="49" spans="1:9" x14ac:dyDescent="0.3">
      <c r="A49">
        <v>624</v>
      </c>
      <c r="B49">
        <v>4</v>
      </c>
      <c r="C49" t="s">
        <v>7</v>
      </c>
      <c r="D49">
        <v>2</v>
      </c>
      <c r="E49">
        <v>2022</v>
      </c>
      <c r="F49">
        <v>4</v>
      </c>
      <c r="G49" t="s">
        <v>7</v>
      </c>
      <c r="H49">
        <v>4.7</v>
      </c>
      <c r="I49">
        <f t="shared" si="0"/>
        <v>9.4</v>
      </c>
    </row>
    <row r="50" spans="1:9" x14ac:dyDescent="0.3">
      <c r="A50">
        <v>625</v>
      </c>
      <c r="B50">
        <v>6</v>
      </c>
      <c r="C50" t="s">
        <v>6</v>
      </c>
      <c r="D50">
        <v>1</v>
      </c>
      <c r="E50">
        <v>2022</v>
      </c>
      <c r="F50">
        <v>6</v>
      </c>
      <c r="G50" t="s">
        <v>6</v>
      </c>
      <c r="H50">
        <v>7.4</v>
      </c>
      <c r="I50">
        <f t="shared" si="0"/>
        <v>7.4</v>
      </c>
    </row>
    <row r="51" spans="1:9" x14ac:dyDescent="0.3">
      <c r="A51">
        <v>626</v>
      </c>
      <c r="B51">
        <v>7</v>
      </c>
      <c r="C51" t="s">
        <v>7</v>
      </c>
      <c r="D51">
        <v>1</v>
      </c>
      <c r="E51">
        <v>2022</v>
      </c>
      <c r="F51">
        <v>7</v>
      </c>
      <c r="G51" t="s">
        <v>7</v>
      </c>
      <c r="H51">
        <v>5.2</v>
      </c>
      <c r="I51">
        <f t="shared" si="0"/>
        <v>5.2</v>
      </c>
    </row>
    <row r="52" spans="1:9" x14ac:dyDescent="0.3">
      <c r="A52">
        <v>626</v>
      </c>
      <c r="B52">
        <v>8</v>
      </c>
      <c r="C52" t="s">
        <v>7</v>
      </c>
      <c r="D52">
        <v>1</v>
      </c>
      <c r="E52">
        <v>2022</v>
      </c>
      <c r="F52">
        <v>8</v>
      </c>
      <c r="G52" t="s">
        <v>7</v>
      </c>
      <c r="H52">
        <v>5.0999999999999996</v>
      </c>
      <c r="I52">
        <f t="shared" si="0"/>
        <v>5.0999999999999996</v>
      </c>
    </row>
    <row r="53" spans="1:9" x14ac:dyDescent="0.3">
      <c r="A53">
        <v>627</v>
      </c>
      <c r="B53">
        <v>7</v>
      </c>
      <c r="C53" t="s">
        <v>7</v>
      </c>
      <c r="D53">
        <v>2</v>
      </c>
      <c r="E53">
        <v>2022</v>
      </c>
      <c r="F53">
        <v>7</v>
      </c>
      <c r="G53" t="s">
        <v>7</v>
      </c>
      <c r="H53">
        <v>5.2</v>
      </c>
      <c r="I53">
        <f t="shared" si="0"/>
        <v>10.4</v>
      </c>
    </row>
    <row r="54" spans="1:9" x14ac:dyDescent="0.3">
      <c r="A54">
        <v>628</v>
      </c>
      <c r="B54">
        <v>6</v>
      </c>
      <c r="C54" t="s">
        <v>7</v>
      </c>
      <c r="D54">
        <v>1</v>
      </c>
      <c r="E54">
        <v>2022</v>
      </c>
      <c r="F54">
        <v>6</v>
      </c>
      <c r="G54" t="s">
        <v>7</v>
      </c>
      <c r="H54">
        <v>5.2</v>
      </c>
      <c r="I54">
        <f t="shared" si="0"/>
        <v>5.2</v>
      </c>
    </row>
    <row r="55" spans="1:9" x14ac:dyDescent="0.3">
      <c r="A55">
        <v>629</v>
      </c>
      <c r="B55">
        <v>10</v>
      </c>
      <c r="C55" t="s">
        <v>7</v>
      </c>
      <c r="D55">
        <v>1</v>
      </c>
      <c r="E55">
        <v>2022</v>
      </c>
      <c r="F55">
        <v>10</v>
      </c>
      <c r="G55" t="s">
        <v>7</v>
      </c>
      <c r="H55">
        <v>5.2</v>
      </c>
      <c r="I55">
        <f t="shared" si="0"/>
        <v>5.2</v>
      </c>
    </row>
    <row r="56" spans="1:9" x14ac:dyDescent="0.3">
      <c r="A56">
        <v>629</v>
      </c>
      <c r="B56">
        <v>11</v>
      </c>
      <c r="C56" t="s">
        <v>7</v>
      </c>
      <c r="D56">
        <v>1</v>
      </c>
      <c r="E56">
        <v>2022</v>
      </c>
      <c r="F56">
        <v>11</v>
      </c>
      <c r="G56" t="s">
        <v>7</v>
      </c>
      <c r="H56">
        <v>5.2</v>
      </c>
      <c r="I56">
        <f t="shared" si="0"/>
        <v>5.2</v>
      </c>
    </row>
    <row r="57" spans="1:9" x14ac:dyDescent="0.3">
      <c r="A57">
        <v>630</v>
      </c>
      <c r="B57">
        <v>5</v>
      </c>
      <c r="C57" t="s">
        <v>6</v>
      </c>
      <c r="D57">
        <v>1</v>
      </c>
      <c r="E57">
        <v>2022</v>
      </c>
      <c r="F57">
        <v>5</v>
      </c>
      <c r="G57" t="s">
        <v>6</v>
      </c>
      <c r="H57">
        <v>7.4</v>
      </c>
      <c r="I57">
        <f t="shared" si="0"/>
        <v>7.4</v>
      </c>
    </row>
    <row r="58" spans="1:9" x14ac:dyDescent="0.3">
      <c r="A58">
        <v>631</v>
      </c>
      <c r="B58">
        <v>8</v>
      </c>
      <c r="C58" t="s">
        <v>6</v>
      </c>
      <c r="D58">
        <v>1</v>
      </c>
      <c r="E58">
        <v>2022</v>
      </c>
      <c r="F58">
        <v>8</v>
      </c>
      <c r="G58" t="s">
        <v>6</v>
      </c>
      <c r="H58">
        <v>7.6</v>
      </c>
      <c r="I58">
        <f t="shared" si="0"/>
        <v>7.6</v>
      </c>
    </row>
    <row r="59" spans="1:9" x14ac:dyDescent="0.3">
      <c r="A59">
        <v>632</v>
      </c>
      <c r="B59">
        <v>12</v>
      </c>
      <c r="C59" t="s">
        <v>6</v>
      </c>
      <c r="D59">
        <v>2</v>
      </c>
      <c r="E59">
        <v>2022</v>
      </c>
      <c r="F59">
        <v>12</v>
      </c>
      <c r="G59" t="s">
        <v>6</v>
      </c>
      <c r="H59">
        <v>7.4</v>
      </c>
      <c r="I59">
        <f t="shared" si="0"/>
        <v>14.8</v>
      </c>
    </row>
    <row r="60" spans="1:9" x14ac:dyDescent="0.3">
      <c r="A60">
        <v>633</v>
      </c>
      <c r="B60">
        <v>2</v>
      </c>
      <c r="C60" t="s">
        <v>6</v>
      </c>
      <c r="D60">
        <v>1</v>
      </c>
      <c r="E60">
        <v>2022</v>
      </c>
      <c r="F60">
        <v>2</v>
      </c>
      <c r="G60" t="s">
        <v>6</v>
      </c>
      <c r="H60">
        <v>6.5</v>
      </c>
      <c r="I60">
        <f t="shared" si="0"/>
        <v>6.5</v>
      </c>
    </row>
    <row r="61" spans="1:9" x14ac:dyDescent="0.3">
      <c r="A61">
        <v>633</v>
      </c>
      <c r="B61">
        <v>5</v>
      </c>
      <c r="C61" t="s">
        <v>6</v>
      </c>
      <c r="D61">
        <v>1</v>
      </c>
      <c r="E61">
        <v>2022</v>
      </c>
      <c r="F61">
        <v>5</v>
      </c>
      <c r="G61" t="s">
        <v>6</v>
      </c>
      <c r="H61">
        <v>7.4</v>
      </c>
      <c r="I61">
        <f t="shared" si="0"/>
        <v>7.4</v>
      </c>
    </row>
    <row r="62" spans="1:9" x14ac:dyDescent="0.3">
      <c r="A62">
        <v>634</v>
      </c>
      <c r="B62">
        <v>4</v>
      </c>
      <c r="C62" t="s">
        <v>7</v>
      </c>
      <c r="D62">
        <v>1</v>
      </c>
      <c r="E62">
        <v>2022</v>
      </c>
      <c r="F62">
        <v>4</v>
      </c>
      <c r="G62" t="s">
        <v>7</v>
      </c>
      <c r="H62">
        <v>4.7</v>
      </c>
      <c r="I62">
        <f t="shared" si="0"/>
        <v>4.7</v>
      </c>
    </row>
    <row r="63" spans="1:9" x14ac:dyDescent="0.3">
      <c r="A63">
        <v>634</v>
      </c>
      <c r="B63">
        <v>6</v>
      </c>
      <c r="C63" t="s">
        <v>7</v>
      </c>
      <c r="D63">
        <v>1</v>
      </c>
      <c r="E63">
        <v>2022</v>
      </c>
      <c r="F63">
        <v>6</v>
      </c>
      <c r="G63" t="s">
        <v>7</v>
      </c>
      <c r="H63">
        <v>5.2</v>
      </c>
      <c r="I63">
        <f t="shared" si="0"/>
        <v>5.2</v>
      </c>
    </row>
    <row r="64" spans="1:9" x14ac:dyDescent="0.3">
      <c r="A64">
        <v>635</v>
      </c>
      <c r="B64">
        <v>3</v>
      </c>
      <c r="C64" t="s">
        <v>7</v>
      </c>
      <c r="D64">
        <v>1</v>
      </c>
      <c r="E64">
        <v>2022</v>
      </c>
      <c r="F64">
        <v>3</v>
      </c>
      <c r="G64" t="s">
        <v>7</v>
      </c>
      <c r="H64">
        <v>4.9000000000000004</v>
      </c>
      <c r="I64">
        <f t="shared" si="0"/>
        <v>4.9000000000000004</v>
      </c>
    </row>
    <row r="65" spans="1:9" x14ac:dyDescent="0.3">
      <c r="A65">
        <v>635</v>
      </c>
      <c r="B65">
        <v>12</v>
      </c>
      <c r="C65" t="s">
        <v>7</v>
      </c>
      <c r="D65">
        <v>1</v>
      </c>
      <c r="E65">
        <v>2022</v>
      </c>
      <c r="F65">
        <v>12</v>
      </c>
      <c r="G65" t="s">
        <v>7</v>
      </c>
      <c r="H65">
        <v>5.2</v>
      </c>
      <c r="I65">
        <f t="shared" si="0"/>
        <v>5.2</v>
      </c>
    </row>
    <row r="66" spans="1:9" x14ac:dyDescent="0.3">
      <c r="A66">
        <v>636</v>
      </c>
      <c r="B66">
        <v>1</v>
      </c>
      <c r="C66" t="s">
        <v>6</v>
      </c>
      <c r="D66">
        <v>1</v>
      </c>
      <c r="E66">
        <v>2022</v>
      </c>
      <c r="F66">
        <v>1</v>
      </c>
      <c r="G66" t="s">
        <v>6</v>
      </c>
      <c r="H66">
        <v>6.5</v>
      </c>
      <c r="I66">
        <f t="shared" si="0"/>
        <v>6.5</v>
      </c>
    </row>
    <row r="67" spans="1:9" x14ac:dyDescent="0.3">
      <c r="A67">
        <v>637</v>
      </c>
      <c r="B67">
        <v>8</v>
      </c>
      <c r="C67" t="s">
        <v>6</v>
      </c>
      <c r="D67">
        <v>1</v>
      </c>
      <c r="E67">
        <v>2022</v>
      </c>
      <c r="F67">
        <v>8</v>
      </c>
      <c r="G67" t="s">
        <v>6</v>
      </c>
      <c r="H67">
        <v>7.6</v>
      </c>
      <c r="I67">
        <f t="shared" ref="I67:I130" si="1">D67*H67</f>
        <v>7.6</v>
      </c>
    </row>
    <row r="68" spans="1:9" x14ac:dyDescent="0.3">
      <c r="A68">
        <v>638</v>
      </c>
      <c r="B68">
        <v>5</v>
      </c>
      <c r="C68" t="s">
        <v>6</v>
      </c>
      <c r="D68">
        <v>1</v>
      </c>
      <c r="E68">
        <v>2022</v>
      </c>
      <c r="F68">
        <v>5</v>
      </c>
      <c r="G68" t="s">
        <v>6</v>
      </c>
      <c r="H68">
        <v>7.4</v>
      </c>
      <c r="I68">
        <f t="shared" si="1"/>
        <v>7.4</v>
      </c>
    </row>
    <row r="69" spans="1:9" x14ac:dyDescent="0.3">
      <c r="A69">
        <v>638</v>
      </c>
      <c r="B69">
        <v>8</v>
      </c>
      <c r="C69" t="s">
        <v>6</v>
      </c>
      <c r="D69">
        <v>1</v>
      </c>
      <c r="E69">
        <v>2022</v>
      </c>
      <c r="F69">
        <v>8</v>
      </c>
      <c r="G69" t="s">
        <v>6</v>
      </c>
      <c r="H69">
        <v>7.6</v>
      </c>
      <c r="I69">
        <f t="shared" si="1"/>
        <v>7.6</v>
      </c>
    </row>
    <row r="70" spans="1:9" x14ac:dyDescent="0.3">
      <c r="A70">
        <v>639</v>
      </c>
      <c r="B70">
        <v>4</v>
      </c>
      <c r="C70" t="s">
        <v>7</v>
      </c>
      <c r="D70">
        <v>2</v>
      </c>
      <c r="E70">
        <v>2022</v>
      </c>
      <c r="F70">
        <v>4</v>
      </c>
      <c r="G70" t="s">
        <v>7</v>
      </c>
      <c r="H70">
        <v>4.7</v>
      </c>
      <c r="I70">
        <f t="shared" si="1"/>
        <v>9.4</v>
      </c>
    </row>
    <row r="71" spans="1:9" x14ac:dyDescent="0.3">
      <c r="A71">
        <v>640</v>
      </c>
      <c r="B71">
        <v>10</v>
      </c>
      <c r="C71" t="s">
        <v>6</v>
      </c>
      <c r="D71">
        <v>1</v>
      </c>
      <c r="E71">
        <v>2022</v>
      </c>
      <c r="F71">
        <v>10</v>
      </c>
      <c r="G71" t="s">
        <v>6</v>
      </c>
      <c r="H71">
        <v>7.4</v>
      </c>
      <c r="I71">
        <f t="shared" si="1"/>
        <v>7.4</v>
      </c>
    </row>
    <row r="72" spans="1:9" x14ac:dyDescent="0.3">
      <c r="A72">
        <v>640</v>
      </c>
      <c r="B72">
        <v>11</v>
      </c>
      <c r="C72" t="s">
        <v>6</v>
      </c>
      <c r="D72">
        <v>1</v>
      </c>
      <c r="E72">
        <v>2022</v>
      </c>
      <c r="F72">
        <v>11</v>
      </c>
      <c r="G72" t="s">
        <v>6</v>
      </c>
      <c r="H72">
        <v>7.4</v>
      </c>
      <c r="I72">
        <f t="shared" si="1"/>
        <v>7.4</v>
      </c>
    </row>
    <row r="73" spans="1:9" x14ac:dyDescent="0.3">
      <c r="A73">
        <v>641</v>
      </c>
      <c r="B73">
        <v>3</v>
      </c>
      <c r="C73" t="s">
        <v>7</v>
      </c>
      <c r="D73">
        <v>2</v>
      </c>
      <c r="E73">
        <v>2022</v>
      </c>
      <c r="F73">
        <v>3</v>
      </c>
      <c r="G73" t="s">
        <v>7</v>
      </c>
      <c r="H73">
        <v>4.9000000000000004</v>
      </c>
      <c r="I73">
        <f t="shared" si="1"/>
        <v>9.8000000000000007</v>
      </c>
    </row>
    <row r="74" spans="1:9" x14ac:dyDescent="0.3">
      <c r="A74">
        <v>642</v>
      </c>
      <c r="B74">
        <v>9</v>
      </c>
      <c r="C74" t="s">
        <v>6</v>
      </c>
      <c r="D74">
        <v>1</v>
      </c>
      <c r="E74">
        <v>2022</v>
      </c>
      <c r="F74">
        <v>9</v>
      </c>
      <c r="G74" t="s">
        <v>6</v>
      </c>
      <c r="H74">
        <v>7.6</v>
      </c>
      <c r="I74">
        <f t="shared" si="1"/>
        <v>7.6</v>
      </c>
    </row>
    <row r="75" spans="1:9" x14ac:dyDescent="0.3">
      <c r="A75">
        <v>642</v>
      </c>
      <c r="B75">
        <v>11</v>
      </c>
      <c r="C75" t="s">
        <v>6</v>
      </c>
      <c r="D75">
        <v>1</v>
      </c>
      <c r="E75">
        <v>2022</v>
      </c>
      <c r="F75">
        <v>11</v>
      </c>
      <c r="G75" t="s">
        <v>6</v>
      </c>
      <c r="H75">
        <v>7.4</v>
      </c>
      <c r="I75">
        <f t="shared" si="1"/>
        <v>7.4</v>
      </c>
    </row>
    <row r="76" spans="1:9" x14ac:dyDescent="0.3">
      <c r="A76">
        <v>643</v>
      </c>
      <c r="B76">
        <v>4</v>
      </c>
      <c r="C76" t="s">
        <v>6</v>
      </c>
      <c r="D76">
        <v>1</v>
      </c>
      <c r="E76">
        <v>2022</v>
      </c>
      <c r="F76">
        <v>4</v>
      </c>
      <c r="G76" t="s">
        <v>6</v>
      </c>
      <c r="H76">
        <v>6.5</v>
      </c>
      <c r="I76">
        <f t="shared" si="1"/>
        <v>6.5</v>
      </c>
    </row>
    <row r="77" spans="1:9" x14ac:dyDescent="0.3">
      <c r="A77">
        <v>643</v>
      </c>
      <c r="B77">
        <v>11</v>
      </c>
      <c r="C77" t="s">
        <v>6</v>
      </c>
      <c r="D77">
        <v>1</v>
      </c>
      <c r="E77">
        <v>2022</v>
      </c>
      <c r="F77">
        <v>11</v>
      </c>
      <c r="G77" t="s">
        <v>6</v>
      </c>
      <c r="H77">
        <v>7.4</v>
      </c>
      <c r="I77">
        <f t="shared" si="1"/>
        <v>7.4</v>
      </c>
    </row>
    <row r="78" spans="1:9" x14ac:dyDescent="0.3">
      <c r="A78">
        <v>644</v>
      </c>
      <c r="B78">
        <v>12</v>
      </c>
      <c r="C78" t="s">
        <v>7</v>
      </c>
      <c r="D78">
        <v>1</v>
      </c>
      <c r="E78">
        <v>2022</v>
      </c>
      <c r="F78">
        <v>12</v>
      </c>
      <c r="G78" t="s">
        <v>7</v>
      </c>
      <c r="H78">
        <v>5.2</v>
      </c>
      <c r="I78">
        <f t="shared" si="1"/>
        <v>5.2</v>
      </c>
    </row>
    <row r="79" spans="1:9" x14ac:dyDescent="0.3">
      <c r="A79">
        <v>645</v>
      </c>
      <c r="B79">
        <v>2</v>
      </c>
      <c r="C79" t="s">
        <v>6</v>
      </c>
      <c r="D79">
        <v>1</v>
      </c>
      <c r="E79">
        <v>2022</v>
      </c>
      <c r="F79">
        <v>2</v>
      </c>
      <c r="G79" t="s">
        <v>6</v>
      </c>
      <c r="H79">
        <v>6.5</v>
      </c>
      <c r="I79">
        <f t="shared" si="1"/>
        <v>6.5</v>
      </c>
    </row>
    <row r="80" spans="1:9" x14ac:dyDescent="0.3">
      <c r="A80">
        <v>646</v>
      </c>
      <c r="B80">
        <v>4</v>
      </c>
      <c r="C80" t="s">
        <v>7</v>
      </c>
      <c r="D80">
        <v>1</v>
      </c>
      <c r="E80">
        <v>2022</v>
      </c>
      <c r="F80">
        <v>4</v>
      </c>
      <c r="G80" t="s">
        <v>7</v>
      </c>
      <c r="H80">
        <v>4.7</v>
      </c>
      <c r="I80">
        <f t="shared" si="1"/>
        <v>4.7</v>
      </c>
    </row>
    <row r="81" spans="1:9" x14ac:dyDescent="0.3">
      <c r="A81">
        <v>646</v>
      </c>
      <c r="B81">
        <v>8</v>
      </c>
      <c r="C81" t="s">
        <v>7</v>
      </c>
      <c r="D81">
        <v>1</v>
      </c>
      <c r="E81">
        <v>2022</v>
      </c>
      <c r="F81">
        <v>8</v>
      </c>
      <c r="G81" t="s">
        <v>7</v>
      </c>
      <c r="H81">
        <v>5.0999999999999996</v>
      </c>
      <c r="I81">
        <f t="shared" si="1"/>
        <v>5.0999999999999996</v>
      </c>
    </row>
    <row r="82" spans="1:9" x14ac:dyDescent="0.3">
      <c r="A82">
        <v>647</v>
      </c>
      <c r="B82">
        <v>9</v>
      </c>
      <c r="C82" t="s">
        <v>7</v>
      </c>
      <c r="D82">
        <v>1</v>
      </c>
      <c r="E82">
        <v>2022</v>
      </c>
      <c r="F82">
        <v>9</v>
      </c>
      <c r="G82" t="s">
        <v>7</v>
      </c>
      <c r="H82">
        <v>5.0999999999999996</v>
      </c>
      <c r="I82">
        <f t="shared" si="1"/>
        <v>5.0999999999999996</v>
      </c>
    </row>
    <row r="83" spans="1:9" x14ac:dyDescent="0.3">
      <c r="A83">
        <v>647</v>
      </c>
      <c r="B83">
        <v>12</v>
      </c>
      <c r="C83" t="s">
        <v>7</v>
      </c>
      <c r="D83">
        <v>1</v>
      </c>
      <c r="E83">
        <v>2022</v>
      </c>
      <c r="F83">
        <v>12</v>
      </c>
      <c r="G83" t="s">
        <v>7</v>
      </c>
      <c r="H83">
        <v>5.2</v>
      </c>
      <c r="I83">
        <f t="shared" si="1"/>
        <v>5.2</v>
      </c>
    </row>
    <row r="84" spans="1:9" x14ac:dyDescent="0.3">
      <c r="A84">
        <v>648</v>
      </c>
      <c r="B84">
        <v>1</v>
      </c>
      <c r="C84" t="s">
        <v>6</v>
      </c>
      <c r="D84">
        <v>1</v>
      </c>
      <c r="E84">
        <v>2022</v>
      </c>
      <c r="F84">
        <v>1</v>
      </c>
      <c r="G84" t="s">
        <v>6</v>
      </c>
      <c r="H84">
        <v>6.5</v>
      </c>
      <c r="I84">
        <f t="shared" si="1"/>
        <v>6.5</v>
      </c>
    </row>
    <row r="85" spans="1:9" x14ac:dyDescent="0.3">
      <c r="A85">
        <v>649</v>
      </c>
      <c r="B85">
        <v>8</v>
      </c>
      <c r="C85" t="s">
        <v>6</v>
      </c>
      <c r="D85">
        <v>1</v>
      </c>
      <c r="E85">
        <v>2022</v>
      </c>
      <c r="F85">
        <v>8</v>
      </c>
      <c r="G85" t="s">
        <v>6</v>
      </c>
      <c r="H85">
        <v>7.6</v>
      </c>
      <c r="I85">
        <f t="shared" si="1"/>
        <v>7.6</v>
      </c>
    </row>
    <row r="86" spans="1:9" x14ac:dyDescent="0.3">
      <c r="A86">
        <v>649</v>
      </c>
      <c r="B86">
        <v>12</v>
      </c>
      <c r="C86" t="s">
        <v>6</v>
      </c>
      <c r="D86">
        <v>1</v>
      </c>
      <c r="E86">
        <v>2022</v>
      </c>
      <c r="F86">
        <v>12</v>
      </c>
      <c r="G86" t="s">
        <v>6</v>
      </c>
      <c r="H86">
        <v>7.4</v>
      </c>
      <c r="I86">
        <f t="shared" si="1"/>
        <v>7.4</v>
      </c>
    </row>
    <row r="87" spans="1:9" x14ac:dyDescent="0.3">
      <c r="A87">
        <v>650</v>
      </c>
      <c r="B87">
        <v>5</v>
      </c>
      <c r="C87" t="s">
        <v>6</v>
      </c>
      <c r="D87">
        <v>1</v>
      </c>
      <c r="E87">
        <v>2022</v>
      </c>
      <c r="F87">
        <v>5</v>
      </c>
      <c r="G87" t="s">
        <v>6</v>
      </c>
      <c r="H87">
        <v>7.4</v>
      </c>
      <c r="I87">
        <f t="shared" si="1"/>
        <v>7.4</v>
      </c>
    </row>
    <row r="88" spans="1:9" x14ac:dyDescent="0.3">
      <c r="A88">
        <v>651</v>
      </c>
      <c r="B88">
        <v>4</v>
      </c>
      <c r="C88" t="s">
        <v>7</v>
      </c>
      <c r="D88">
        <v>2</v>
      </c>
      <c r="E88">
        <v>2022</v>
      </c>
      <c r="F88">
        <v>4</v>
      </c>
      <c r="G88" t="s">
        <v>7</v>
      </c>
      <c r="H88">
        <v>4.7</v>
      </c>
      <c r="I88">
        <f t="shared" si="1"/>
        <v>9.4</v>
      </c>
    </row>
    <row r="89" spans="1:9" x14ac:dyDescent="0.3">
      <c r="A89">
        <v>652</v>
      </c>
      <c r="B89">
        <v>10</v>
      </c>
      <c r="C89" t="s">
        <v>7</v>
      </c>
      <c r="D89">
        <v>1</v>
      </c>
      <c r="E89">
        <v>2022</v>
      </c>
      <c r="F89">
        <v>10</v>
      </c>
      <c r="G89" t="s">
        <v>7</v>
      </c>
      <c r="H89">
        <v>5.2</v>
      </c>
      <c r="I89">
        <f t="shared" si="1"/>
        <v>5.2</v>
      </c>
    </row>
    <row r="90" spans="1:9" x14ac:dyDescent="0.3">
      <c r="A90">
        <v>653</v>
      </c>
      <c r="B90">
        <v>3</v>
      </c>
      <c r="C90" t="s">
        <v>7</v>
      </c>
      <c r="D90">
        <v>2</v>
      </c>
      <c r="E90">
        <v>2022</v>
      </c>
      <c r="F90">
        <v>3</v>
      </c>
      <c r="G90" t="s">
        <v>7</v>
      </c>
      <c r="H90">
        <v>4.9000000000000004</v>
      </c>
      <c r="I90">
        <f t="shared" si="1"/>
        <v>9.8000000000000007</v>
      </c>
    </row>
    <row r="91" spans="1:9" x14ac:dyDescent="0.3">
      <c r="A91">
        <v>653</v>
      </c>
      <c r="B91">
        <v>8</v>
      </c>
      <c r="C91" t="s">
        <v>7</v>
      </c>
      <c r="D91">
        <v>2</v>
      </c>
      <c r="E91">
        <v>2022</v>
      </c>
      <c r="F91">
        <v>8</v>
      </c>
      <c r="G91" t="s">
        <v>7</v>
      </c>
      <c r="H91">
        <v>5.0999999999999996</v>
      </c>
      <c r="I91">
        <f t="shared" si="1"/>
        <v>10.199999999999999</v>
      </c>
    </row>
    <row r="92" spans="1:9" x14ac:dyDescent="0.3">
      <c r="A92">
        <v>654</v>
      </c>
      <c r="B92">
        <v>9</v>
      </c>
      <c r="C92" t="s">
        <v>7</v>
      </c>
      <c r="D92">
        <v>1</v>
      </c>
      <c r="E92">
        <v>2022</v>
      </c>
      <c r="F92">
        <v>9</v>
      </c>
      <c r="G92" t="s">
        <v>7</v>
      </c>
      <c r="H92">
        <v>5.0999999999999996</v>
      </c>
      <c r="I92">
        <f t="shared" si="1"/>
        <v>5.0999999999999996</v>
      </c>
    </row>
    <row r="93" spans="1:9" x14ac:dyDescent="0.3">
      <c r="A93">
        <v>655</v>
      </c>
      <c r="B93">
        <v>11</v>
      </c>
      <c r="C93" t="s">
        <v>6</v>
      </c>
      <c r="D93">
        <v>1</v>
      </c>
      <c r="E93">
        <v>2022</v>
      </c>
      <c r="F93">
        <v>11</v>
      </c>
      <c r="G93" t="s">
        <v>6</v>
      </c>
      <c r="H93">
        <v>7.4</v>
      </c>
      <c r="I93">
        <f t="shared" si="1"/>
        <v>7.4</v>
      </c>
    </row>
    <row r="94" spans="1:9" x14ac:dyDescent="0.3">
      <c r="A94">
        <v>656</v>
      </c>
      <c r="B94">
        <v>12</v>
      </c>
      <c r="C94" t="s">
        <v>7</v>
      </c>
      <c r="D94">
        <v>1</v>
      </c>
      <c r="E94">
        <v>2022</v>
      </c>
      <c r="F94">
        <v>12</v>
      </c>
      <c r="G94" t="s">
        <v>7</v>
      </c>
      <c r="H94">
        <v>5.2</v>
      </c>
      <c r="I94">
        <f t="shared" si="1"/>
        <v>5.2</v>
      </c>
    </row>
    <row r="95" spans="1:9" x14ac:dyDescent="0.3">
      <c r="A95">
        <v>657</v>
      </c>
      <c r="B95">
        <v>11</v>
      </c>
      <c r="C95" t="s">
        <v>7</v>
      </c>
      <c r="D95">
        <v>1</v>
      </c>
      <c r="E95">
        <v>2022</v>
      </c>
      <c r="F95">
        <v>11</v>
      </c>
      <c r="G95" t="s">
        <v>7</v>
      </c>
      <c r="H95">
        <v>5.2</v>
      </c>
      <c r="I95">
        <f t="shared" si="1"/>
        <v>5.2</v>
      </c>
    </row>
    <row r="96" spans="1:9" x14ac:dyDescent="0.3">
      <c r="A96">
        <v>657</v>
      </c>
      <c r="B96">
        <v>12</v>
      </c>
      <c r="C96" t="s">
        <v>7</v>
      </c>
      <c r="D96">
        <v>1</v>
      </c>
      <c r="E96">
        <v>2022</v>
      </c>
      <c r="F96">
        <v>12</v>
      </c>
      <c r="G96" t="s">
        <v>7</v>
      </c>
      <c r="H96">
        <v>5.2</v>
      </c>
      <c r="I96">
        <f t="shared" si="1"/>
        <v>5.2</v>
      </c>
    </row>
    <row r="97" spans="1:9" x14ac:dyDescent="0.3">
      <c r="A97">
        <v>658</v>
      </c>
      <c r="B97">
        <v>12</v>
      </c>
      <c r="C97" t="s">
        <v>7</v>
      </c>
      <c r="D97">
        <v>1</v>
      </c>
      <c r="E97">
        <v>2022</v>
      </c>
      <c r="F97">
        <v>12</v>
      </c>
      <c r="G97" t="s">
        <v>7</v>
      </c>
      <c r="H97">
        <v>5.2</v>
      </c>
      <c r="I97">
        <f t="shared" si="1"/>
        <v>5.2</v>
      </c>
    </row>
    <row r="98" spans="1:9" x14ac:dyDescent="0.3">
      <c r="A98">
        <v>659</v>
      </c>
      <c r="B98">
        <v>12</v>
      </c>
      <c r="C98" t="s">
        <v>6</v>
      </c>
      <c r="D98">
        <v>1</v>
      </c>
      <c r="E98">
        <v>2022</v>
      </c>
      <c r="F98">
        <v>12</v>
      </c>
      <c r="G98" t="s">
        <v>6</v>
      </c>
      <c r="H98">
        <v>7.4</v>
      </c>
      <c r="I98">
        <f t="shared" si="1"/>
        <v>7.4</v>
      </c>
    </row>
    <row r="99" spans="1:9" x14ac:dyDescent="0.3">
      <c r="A99">
        <v>660</v>
      </c>
      <c r="B99">
        <v>1</v>
      </c>
      <c r="C99" t="s">
        <v>8</v>
      </c>
      <c r="D99">
        <v>2</v>
      </c>
      <c r="E99">
        <v>2022</v>
      </c>
      <c r="F99">
        <v>1</v>
      </c>
      <c r="G99" t="s">
        <v>8</v>
      </c>
      <c r="H99">
        <v>3.9</v>
      </c>
      <c r="I99">
        <f t="shared" si="1"/>
        <v>7.8</v>
      </c>
    </row>
    <row r="100" spans="1:9" x14ac:dyDescent="0.3">
      <c r="A100">
        <v>661</v>
      </c>
      <c r="B100">
        <v>2</v>
      </c>
      <c r="C100" t="s">
        <v>7</v>
      </c>
      <c r="D100">
        <v>1</v>
      </c>
      <c r="E100">
        <v>2022</v>
      </c>
      <c r="F100">
        <v>2</v>
      </c>
      <c r="G100" t="s">
        <v>7</v>
      </c>
      <c r="H100">
        <v>4.9000000000000004</v>
      </c>
      <c r="I100">
        <f t="shared" si="1"/>
        <v>4.9000000000000004</v>
      </c>
    </row>
    <row r="101" spans="1:9" x14ac:dyDescent="0.3">
      <c r="A101">
        <v>661</v>
      </c>
      <c r="B101">
        <v>6</v>
      </c>
      <c r="C101" t="s">
        <v>7</v>
      </c>
      <c r="D101">
        <v>1</v>
      </c>
      <c r="E101">
        <v>2022</v>
      </c>
      <c r="F101">
        <v>6</v>
      </c>
      <c r="G101" t="s">
        <v>7</v>
      </c>
      <c r="H101">
        <v>5.2</v>
      </c>
      <c r="I101">
        <f t="shared" si="1"/>
        <v>5.2</v>
      </c>
    </row>
    <row r="102" spans="1:9" x14ac:dyDescent="0.3">
      <c r="A102">
        <v>662</v>
      </c>
      <c r="B102">
        <v>3</v>
      </c>
      <c r="C102" t="s">
        <v>7</v>
      </c>
      <c r="D102">
        <v>2</v>
      </c>
      <c r="E102">
        <v>2022</v>
      </c>
      <c r="F102">
        <v>3</v>
      </c>
      <c r="G102" t="s">
        <v>7</v>
      </c>
      <c r="H102">
        <v>4.9000000000000004</v>
      </c>
      <c r="I102">
        <f t="shared" si="1"/>
        <v>9.8000000000000007</v>
      </c>
    </row>
    <row r="103" spans="1:9" x14ac:dyDescent="0.3">
      <c r="A103">
        <v>663</v>
      </c>
      <c r="B103">
        <v>4</v>
      </c>
      <c r="C103" t="s">
        <v>7</v>
      </c>
      <c r="D103">
        <v>1</v>
      </c>
      <c r="E103">
        <v>2022</v>
      </c>
      <c r="F103">
        <v>4</v>
      </c>
      <c r="G103" t="s">
        <v>7</v>
      </c>
      <c r="H103">
        <v>4.7</v>
      </c>
      <c r="I103">
        <f t="shared" si="1"/>
        <v>4.7</v>
      </c>
    </row>
    <row r="104" spans="1:9" x14ac:dyDescent="0.3">
      <c r="A104">
        <v>664</v>
      </c>
      <c r="B104">
        <v>5</v>
      </c>
      <c r="C104" t="s">
        <v>6</v>
      </c>
      <c r="D104">
        <v>1</v>
      </c>
      <c r="E104">
        <v>2022</v>
      </c>
      <c r="F104">
        <v>5</v>
      </c>
      <c r="G104" t="s">
        <v>6</v>
      </c>
      <c r="H104">
        <v>7.4</v>
      </c>
      <c r="I104">
        <f t="shared" si="1"/>
        <v>7.4</v>
      </c>
    </row>
    <row r="105" spans="1:9" x14ac:dyDescent="0.3">
      <c r="A105">
        <v>665</v>
      </c>
      <c r="B105">
        <v>6</v>
      </c>
      <c r="C105" t="s">
        <v>7</v>
      </c>
      <c r="D105">
        <v>1</v>
      </c>
      <c r="E105">
        <v>2022</v>
      </c>
      <c r="F105">
        <v>6</v>
      </c>
      <c r="G105" t="s">
        <v>7</v>
      </c>
      <c r="H105">
        <v>5.2</v>
      </c>
      <c r="I105">
        <f t="shared" si="1"/>
        <v>5.2</v>
      </c>
    </row>
    <row r="106" spans="1:9" x14ac:dyDescent="0.3">
      <c r="A106">
        <v>666</v>
      </c>
      <c r="B106">
        <v>7</v>
      </c>
      <c r="C106" t="s">
        <v>7</v>
      </c>
      <c r="D106">
        <v>1</v>
      </c>
      <c r="E106">
        <v>2022</v>
      </c>
      <c r="F106">
        <v>7</v>
      </c>
      <c r="G106" t="s">
        <v>7</v>
      </c>
      <c r="H106">
        <v>5.2</v>
      </c>
      <c r="I106">
        <f t="shared" si="1"/>
        <v>5.2</v>
      </c>
    </row>
    <row r="107" spans="1:9" x14ac:dyDescent="0.3">
      <c r="A107">
        <v>666</v>
      </c>
      <c r="B107">
        <v>12</v>
      </c>
      <c r="C107" t="s">
        <v>7</v>
      </c>
      <c r="D107">
        <v>1</v>
      </c>
      <c r="E107">
        <v>2022</v>
      </c>
      <c r="F107">
        <v>12</v>
      </c>
      <c r="G107" t="s">
        <v>7</v>
      </c>
      <c r="H107">
        <v>5.2</v>
      </c>
      <c r="I107">
        <f t="shared" si="1"/>
        <v>5.2</v>
      </c>
    </row>
    <row r="108" spans="1:9" x14ac:dyDescent="0.3">
      <c r="A108">
        <v>667</v>
      </c>
      <c r="B108">
        <v>8</v>
      </c>
      <c r="C108" t="s">
        <v>6</v>
      </c>
      <c r="D108">
        <v>1</v>
      </c>
      <c r="E108">
        <v>2022</v>
      </c>
      <c r="F108">
        <v>8</v>
      </c>
      <c r="G108" t="s">
        <v>6</v>
      </c>
      <c r="H108">
        <v>7.6</v>
      </c>
      <c r="I108">
        <f t="shared" si="1"/>
        <v>7.6</v>
      </c>
    </row>
    <row r="109" spans="1:9" x14ac:dyDescent="0.3">
      <c r="A109">
        <v>668</v>
      </c>
      <c r="B109">
        <v>9</v>
      </c>
      <c r="C109" t="s">
        <v>7</v>
      </c>
      <c r="D109">
        <v>1</v>
      </c>
      <c r="E109">
        <v>2022</v>
      </c>
      <c r="F109">
        <v>9</v>
      </c>
      <c r="G109" t="s">
        <v>7</v>
      </c>
      <c r="H109">
        <v>5.0999999999999996</v>
      </c>
      <c r="I109">
        <f t="shared" si="1"/>
        <v>5.0999999999999996</v>
      </c>
    </row>
    <row r="110" spans="1:9" x14ac:dyDescent="0.3">
      <c r="A110">
        <v>669</v>
      </c>
      <c r="B110">
        <v>10</v>
      </c>
      <c r="C110" t="s">
        <v>6</v>
      </c>
      <c r="D110">
        <v>1</v>
      </c>
      <c r="E110">
        <v>2022</v>
      </c>
      <c r="F110">
        <v>10</v>
      </c>
      <c r="G110" t="s">
        <v>6</v>
      </c>
      <c r="H110">
        <v>7.4</v>
      </c>
      <c r="I110">
        <f t="shared" si="1"/>
        <v>7.4</v>
      </c>
    </row>
    <row r="111" spans="1:9" x14ac:dyDescent="0.3">
      <c r="A111">
        <v>670</v>
      </c>
      <c r="B111">
        <v>11</v>
      </c>
      <c r="C111" t="s">
        <v>6</v>
      </c>
      <c r="D111">
        <v>1</v>
      </c>
      <c r="E111">
        <v>2022</v>
      </c>
      <c r="F111">
        <v>11</v>
      </c>
      <c r="G111" t="s">
        <v>6</v>
      </c>
      <c r="H111">
        <v>7.4</v>
      </c>
      <c r="I111">
        <f t="shared" si="1"/>
        <v>7.4</v>
      </c>
    </row>
    <row r="112" spans="1:9" x14ac:dyDescent="0.3">
      <c r="A112">
        <v>670</v>
      </c>
      <c r="B112">
        <v>12</v>
      </c>
      <c r="C112" t="s">
        <v>6</v>
      </c>
      <c r="D112">
        <v>1</v>
      </c>
      <c r="E112">
        <v>2022</v>
      </c>
      <c r="F112">
        <v>12</v>
      </c>
      <c r="G112" t="s">
        <v>6</v>
      </c>
      <c r="H112">
        <v>7.4</v>
      </c>
      <c r="I112">
        <f t="shared" si="1"/>
        <v>7.4</v>
      </c>
    </row>
    <row r="113" spans="1:9" x14ac:dyDescent="0.3">
      <c r="A113">
        <v>671</v>
      </c>
      <c r="B113">
        <v>12</v>
      </c>
      <c r="C113" t="s">
        <v>7</v>
      </c>
      <c r="D113">
        <v>1</v>
      </c>
      <c r="E113">
        <v>2022</v>
      </c>
      <c r="F113">
        <v>12</v>
      </c>
      <c r="G113" t="s">
        <v>7</v>
      </c>
      <c r="H113">
        <v>5.2</v>
      </c>
      <c r="I113">
        <f t="shared" si="1"/>
        <v>5.2</v>
      </c>
    </row>
    <row r="114" spans="1:9" x14ac:dyDescent="0.3">
      <c r="A114">
        <v>672</v>
      </c>
      <c r="B114">
        <v>9</v>
      </c>
      <c r="C114" t="s">
        <v>6</v>
      </c>
      <c r="D114">
        <v>2</v>
      </c>
      <c r="E114">
        <v>2022</v>
      </c>
      <c r="F114">
        <v>9</v>
      </c>
      <c r="G114" t="s">
        <v>6</v>
      </c>
      <c r="H114">
        <v>7.6</v>
      </c>
      <c r="I114">
        <f t="shared" si="1"/>
        <v>15.2</v>
      </c>
    </row>
    <row r="115" spans="1:9" x14ac:dyDescent="0.3">
      <c r="A115">
        <v>673</v>
      </c>
      <c r="B115">
        <v>11</v>
      </c>
      <c r="C115" t="s">
        <v>7</v>
      </c>
      <c r="D115">
        <v>1</v>
      </c>
      <c r="E115">
        <v>2022</v>
      </c>
      <c r="F115">
        <v>11</v>
      </c>
      <c r="G115" t="s">
        <v>7</v>
      </c>
      <c r="H115">
        <v>5.2</v>
      </c>
      <c r="I115">
        <f t="shared" si="1"/>
        <v>5.2</v>
      </c>
    </row>
    <row r="116" spans="1:9" x14ac:dyDescent="0.3">
      <c r="A116">
        <v>674</v>
      </c>
      <c r="B116">
        <v>12</v>
      </c>
      <c r="C116" t="s">
        <v>7</v>
      </c>
      <c r="D116">
        <v>2</v>
      </c>
      <c r="E116">
        <v>2022</v>
      </c>
      <c r="F116">
        <v>12</v>
      </c>
      <c r="G116" t="s">
        <v>7</v>
      </c>
      <c r="H116">
        <v>5.2</v>
      </c>
      <c r="I116">
        <f t="shared" si="1"/>
        <v>10.4</v>
      </c>
    </row>
    <row r="117" spans="1:9" x14ac:dyDescent="0.3">
      <c r="A117">
        <v>675</v>
      </c>
      <c r="B117">
        <v>7</v>
      </c>
      <c r="C117" t="s">
        <v>6</v>
      </c>
      <c r="D117">
        <v>1</v>
      </c>
      <c r="E117">
        <v>2022</v>
      </c>
      <c r="F117">
        <v>7</v>
      </c>
      <c r="G117" t="s">
        <v>6</v>
      </c>
      <c r="H117">
        <v>7.4</v>
      </c>
      <c r="I117">
        <f t="shared" si="1"/>
        <v>7.4</v>
      </c>
    </row>
    <row r="118" spans="1:9" x14ac:dyDescent="0.3">
      <c r="A118">
        <v>676</v>
      </c>
      <c r="B118">
        <v>2</v>
      </c>
      <c r="C118" t="s">
        <v>8</v>
      </c>
      <c r="D118">
        <v>3</v>
      </c>
      <c r="E118">
        <v>2022</v>
      </c>
      <c r="F118">
        <v>2</v>
      </c>
      <c r="G118" t="s">
        <v>8</v>
      </c>
      <c r="H118">
        <v>3.9</v>
      </c>
      <c r="I118">
        <f t="shared" si="1"/>
        <v>11.7</v>
      </c>
    </row>
    <row r="119" spans="1:9" x14ac:dyDescent="0.3">
      <c r="A119">
        <v>676</v>
      </c>
      <c r="B119">
        <v>6</v>
      </c>
      <c r="C119" t="s">
        <v>7</v>
      </c>
      <c r="D119">
        <v>3</v>
      </c>
      <c r="E119">
        <v>2022</v>
      </c>
      <c r="F119">
        <v>6</v>
      </c>
      <c r="G119" t="s">
        <v>7</v>
      </c>
      <c r="H119">
        <v>5.2</v>
      </c>
      <c r="I119">
        <f t="shared" si="1"/>
        <v>15.600000000000001</v>
      </c>
    </row>
    <row r="120" spans="1:9" x14ac:dyDescent="0.3">
      <c r="A120">
        <v>677</v>
      </c>
      <c r="B120">
        <v>5</v>
      </c>
      <c r="C120" t="s">
        <v>7</v>
      </c>
      <c r="D120">
        <v>1</v>
      </c>
      <c r="E120">
        <v>2022</v>
      </c>
      <c r="F120">
        <v>5</v>
      </c>
      <c r="G120" t="s">
        <v>7</v>
      </c>
      <c r="H120">
        <v>5.2</v>
      </c>
      <c r="I120">
        <f t="shared" si="1"/>
        <v>5.2</v>
      </c>
    </row>
    <row r="121" spans="1:9" x14ac:dyDescent="0.3">
      <c r="A121">
        <v>678</v>
      </c>
      <c r="B121">
        <v>3</v>
      </c>
      <c r="C121" t="s">
        <v>7</v>
      </c>
      <c r="D121">
        <v>1</v>
      </c>
      <c r="E121">
        <v>2022</v>
      </c>
      <c r="F121">
        <v>3</v>
      </c>
      <c r="G121" t="s">
        <v>7</v>
      </c>
      <c r="H121">
        <v>4.9000000000000004</v>
      </c>
      <c r="I121">
        <f t="shared" si="1"/>
        <v>4.9000000000000004</v>
      </c>
    </row>
    <row r="122" spans="1:9" x14ac:dyDescent="0.3">
      <c r="A122">
        <v>679</v>
      </c>
      <c r="B122">
        <v>9</v>
      </c>
      <c r="C122" t="s">
        <v>6</v>
      </c>
      <c r="D122">
        <v>1</v>
      </c>
      <c r="E122">
        <v>2022</v>
      </c>
      <c r="F122">
        <v>9</v>
      </c>
      <c r="G122" t="s">
        <v>6</v>
      </c>
      <c r="H122">
        <v>7.6</v>
      </c>
      <c r="I122">
        <f t="shared" si="1"/>
        <v>7.6</v>
      </c>
    </row>
    <row r="123" spans="1:9" x14ac:dyDescent="0.3">
      <c r="A123">
        <v>680</v>
      </c>
      <c r="B123">
        <v>11</v>
      </c>
      <c r="C123" t="s">
        <v>6</v>
      </c>
      <c r="D123">
        <v>3</v>
      </c>
      <c r="E123">
        <v>2022</v>
      </c>
      <c r="F123">
        <v>11</v>
      </c>
      <c r="G123" t="s">
        <v>6</v>
      </c>
      <c r="H123">
        <v>7.4</v>
      </c>
      <c r="I123">
        <f t="shared" si="1"/>
        <v>22.200000000000003</v>
      </c>
    </row>
    <row r="124" spans="1:9" x14ac:dyDescent="0.3">
      <c r="A124">
        <v>681</v>
      </c>
      <c r="B124">
        <v>10</v>
      </c>
      <c r="C124" t="s">
        <v>6</v>
      </c>
      <c r="D124">
        <v>1</v>
      </c>
      <c r="E124">
        <v>2022</v>
      </c>
      <c r="F124">
        <v>10</v>
      </c>
      <c r="G124" t="s">
        <v>6</v>
      </c>
      <c r="H124">
        <v>7.4</v>
      </c>
      <c r="I124">
        <f t="shared" si="1"/>
        <v>7.4</v>
      </c>
    </row>
    <row r="125" spans="1:9" x14ac:dyDescent="0.3">
      <c r="A125">
        <v>681</v>
      </c>
      <c r="B125">
        <v>12</v>
      </c>
      <c r="C125" t="s">
        <v>6</v>
      </c>
      <c r="D125">
        <v>1</v>
      </c>
      <c r="E125">
        <v>2022</v>
      </c>
      <c r="F125">
        <v>12</v>
      </c>
      <c r="G125" t="s">
        <v>6</v>
      </c>
      <c r="H125">
        <v>7.4</v>
      </c>
      <c r="I125">
        <f t="shared" si="1"/>
        <v>7.4</v>
      </c>
    </row>
    <row r="126" spans="1:9" x14ac:dyDescent="0.3">
      <c r="A126">
        <v>682</v>
      </c>
      <c r="B126">
        <v>7</v>
      </c>
      <c r="C126" t="s">
        <v>6</v>
      </c>
      <c r="D126">
        <v>2</v>
      </c>
      <c r="E126">
        <v>2022</v>
      </c>
      <c r="F126">
        <v>7</v>
      </c>
      <c r="G126" t="s">
        <v>6</v>
      </c>
      <c r="H126">
        <v>7.4</v>
      </c>
      <c r="I126">
        <f t="shared" si="1"/>
        <v>14.8</v>
      </c>
    </row>
    <row r="127" spans="1:9" x14ac:dyDescent="0.3">
      <c r="A127">
        <v>683</v>
      </c>
      <c r="B127">
        <v>2</v>
      </c>
      <c r="C127" t="s">
        <v>7</v>
      </c>
      <c r="D127">
        <v>2</v>
      </c>
      <c r="E127">
        <v>2022</v>
      </c>
      <c r="F127">
        <v>2</v>
      </c>
      <c r="G127" t="s">
        <v>7</v>
      </c>
      <c r="H127">
        <v>4.9000000000000004</v>
      </c>
      <c r="I127">
        <f t="shared" si="1"/>
        <v>9.8000000000000007</v>
      </c>
    </row>
    <row r="128" spans="1:9" x14ac:dyDescent="0.3">
      <c r="A128">
        <v>684</v>
      </c>
      <c r="B128">
        <v>5</v>
      </c>
      <c r="C128" t="s">
        <v>7</v>
      </c>
      <c r="D128">
        <v>1</v>
      </c>
      <c r="E128">
        <v>2022</v>
      </c>
      <c r="F128">
        <v>5</v>
      </c>
      <c r="G128" t="s">
        <v>7</v>
      </c>
      <c r="H128">
        <v>5.2</v>
      </c>
      <c r="I128">
        <f t="shared" si="1"/>
        <v>5.2</v>
      </c>
    </row>
    <row r="129" spans="1:9" x14ac:dyDescent="0.3">
      <c r="A129">
        <v>685</v>
      </c>
      <c r="B129">
        <v>3</v>
      </c>
      <c r="C129" t="s">
        <v>7</v>
      </c>
      <c r="D129">
        <v>1</v>
      </c>
      <c r="E129">
        <v>2022</v>
      </c>
      <c r="F129">
        <v>3</v>
      </c>
      <c r="G129" t="s">
        <v>7</v>
      </c>
      <c r="H129">
        <v>4.9000000000000004</v>
      </c>
      <c r="I129">
        <f t="shared" si="1"/>
        <v>4.9000000000000004</v>
      </c>
    </row>
    <row r="130" spans="1:9" x14ac:dyDescent="0.3">
      <c r="A130">
        <v>686</v>
      </c>
      <c r="B130">
        <v>7</v>
      </c>
      <c r="C130" t="s">
        <v>6</v>
      </c>
      <c r="D130">
        <v>1</v>
      </c>
      <c r="E130">
        <v>2022</v>
      </c>
      <c r="F130">
        <v>7</v>
      </c>
      <c r="G130" t="s">
        <v>6</v>
      </c>
      <c r="H130">
        <v>7.4</v>
      </c>
      <c r="I130">
        <f t="shared" si="1"/>
        <v>7.4</v>
      </c>
    </row>
    <row r="131" spans="1:9" x14ac:dyDescent="0.3">
      <c r="A131">
        <v>687</v>
      </c>
      <c r="B131">
        <v>6</v>
      </c>
      <c r="C131" t="s">
        <v>6</v>
      </c>
      <c r="D131">
        <v>4</v>
      </c>
      <c r="E131">
        <v>2022</v>
      </c>
      <c r="F131">
        <v>6</v>
      </c>
      <c r="G131" t="s">
        <v>6</v>
      </c>
      <c r="H131">
        <v>7.4</v>
      </c>
      <c r="I131">
        <f t="shared" ref="I131:I194" si="2">D131*H131</f>
        <v>29.6</v>
      </c>
    </row>
    <row r="132" spans="1:9" x14ac:dyDescent="0.3">
      <c r="A132">
        <v>688</v>
      </c>
      <c r="B132">
        <v>1</v>
      </c>
      <c r="C132" t="s">
        <v>7</v>
      </c>
      <c r="D132">
        <v>1</v>
      </c>
      <c r="E132">
        <v>2022</v>
      </c>
      <c r="F132">
        <v>1</v>
      </c>
      <c r="G132" t="s">
        <v>7</v>
      </c>
      <c r="H132">
        <v>4.9000000000000004</v>
      </c>
      <c r="I132">
        <f t="shared" si="2"/>
        <v>4.9000000000000004</v>
      </c>
    </row>
    <row r="133" spans="1:9" x14ac:dyDescent="0.3">
      <c r="A133">
        <v>688</v>
      </c>
      <c r="B133">
        <v>3</v>
      </c>
      <c r="C133" t="s">
        <v>7</v>
      </c>
      <c r="D133">
        <v>1</v>
      </c>
      <c r="E133">
        <v>2022</v>
      </c>
      <c r="F133">
        <v>3</v>
      </c>
      <c r="G133" t="s">
        <v>7</v>
      </c>
      <c r="H133">
        <v>4.9000000000000004</v>
      </c>
      <c r="I133">
        <f t="shared" si="2"/>
        <v>4.9000000000000004</v>
      </c>
    </row>
    <row r="134" spans="1:9" x14ac:dyDescent="0.3">
      <c r="A134">
        <v>689</v>
      </c>
      <c r="B134">
        <v>12</v>
      </c>
      <c r="C134" t="s">
        <v>6</v>
      </c>
      <c r="D134">
        <v>1</v>
      </c>
      <c r="E134">
        <v>2022</v>
      </c>
      <c r="F134">
        <v>12</v>
      </c>
      <c r="G134" t="s">
        <v>6</v>
      </c>
      <c r="H134">
        <v>7.4</v>
      </c>
      <c r="I134">
        <f t="shared" si="2"/>
        <v>7.4</v>
      </c>
    </row>
    <row r="135" spans="1:9" x14ac:dyDescent="0.3">
      <c r="A135">
        <v>690</v>
      </c>
      <c r="B135">
        <v>9</v>
      </c>
      <c r="C135" t="s">
        <v>7</v>
      </c>
      <c r="D135">
        <v>1</v>
      </c>
      <c r="E135">
        <v>2022</v>
      </c>
      <c r="F135">
        <v>9</v>
      </c>
      <c r="G135" t="s">
        <v>7</v>
      </c>
      <c r="H135">
        <v>5.0999999999999996</v>
      </c>
      <c r="I135">
        <f t="shared" si="2"/>
        <v>5.0999999999999996</v>
      </c>
    </row>
    <row r="136" spans="1:9" x14ac:dyDescent="0.3">
      <c r="A136">
        <v>691</v>
      </c>
      <c r="B136">
        <v>10</v>
      </c>
      <c r="C136" t="s">
        <v>6</v>
      </c>
      <c r="D136">
        <v>2</v>
      </c>
      <c r="E136">
        <v>2022</v>
      </c>
      <c r="F136">
        <v>10</v>
      </c>
      <c r="G136" t="s">
        <v>6</v>
      </c>
      <c r="H136">
        <v>7.4</v>
      </c>
      <c r="I136">
        <f t="shared" si="2"/>
        <v>14.8</v>
      </c>
    </row>
    <row r="137" spans="1:9" x14ac:dyDescent="0.3">
      <c r="A137">
        <v>691</v>
      </c>
      <c r="B137">
        <v>12</v>
      </c>
      <c r="C137" t="s">
        <v>6</v>
      </c>
      <c r="D137">
        <v>2</v>
      </c>
      <c r="E137">
        <v>2022</v>
      </c>
      <c r="F137">
        <v>12</v>
      </c>
      <c r="G137" t="s">
        <v>6</v>
      </c>
      <c r="H137">
        <v>7.4</v>
      </c>
      <c r="I137">
        <f t="shared" si="2"/>
        <v>14.8</v>
      </c>
    </row>
    <row r="138" spans="1:9" x14ac:dyDescent="0.3">
      <c r="A138">
        <v>692</v>
      </c>
      <c r="B138">
        <v>7</v>
      </c>
      <c r="C138" t="s">
        <v>7</v>
      </c>
      <c r="D138">
        <v>1</v>
      </c>
      <c r="E138">
        <v>2022</v>
      </c>
      <c r="F138">
        <v>7</v>
      </c>
      <c r="G138" t="s">
        <v>7</v>
      </c>
      <c r="H138">
        <v>5.2</v>
      </c>
      <c r="I138">
        <f t="shared" si="2"/>
        <v>5.2</v>
      </c>
    </row>
    <row r="139" spans="1:9" x14ac:dyDescent="0.3">
      <c r="A139">
        <v>692</v>
      </c>
      <c r="B139">
        <v>12</v>
      </c>
      <c r="C139" t="s">
        <v>7</v>
      </c>
      <c r="D139">
        <v>1</v>
      </c>
      <c r="E139">
        <v>2022</v>
      </c>
      <c r="F139">
        <v>12</v>
      </c>
      <c r="G139" t="s">
        <v>7</v>
      </c>
      <c r="H139">
        <v>5.2</v>
      </c>
      <c r="I139">
        <f t="shared" si="2"/>
        <v>5.2</v>
      </c>
    </row>
    <row r="140" spans="1:9" x14ac:dyDescent="0.3">
      <c r="A140">
        <v>693</v>
      </c>
      <c r="B140">
        <v>9</v>
      </c>
      <c r="C140" t="s">
        <v>7</v>
      </c>
      <c r="D140">
        <v>2</v>
      </c>
      <c r="E140">
        <v>2022</v>
      </c>
      <c r="F140">
        <v>9</v>
      </c>
      <c r="G140" t="s">
        <v>7</v>
      </c>
      <c r="H140">
        <v>5.0999999999999996</v>
      </c>
      <c r="I140">
        <f t="shared" si="2"/>
        <v>10.199999999999999</v>
      </c>
    </row>
    <row r="141" spans="1:9" x14ac:dyDescent="0.3">
      <c r="A141">
        <v>694</v>
      </c>
      <c r="B141">
        <v>2</v>
      </c>
      <c r="C141" t="s">
        <v>7</v>
      </c>
      <c r="D141">
        <v>1</v>
      </c>
      <c r="E141">
        <v>2022</v>
      </c>
      <c r="F141">
        <v>2</v>
      </c>
      <c r="G141" t="s">
        <v>7</v>
      </c>
      <c r="H141">
        <v>4.9000000000000004</v>
      </c>
      <c r="I141">
        <f t="shared" si="2"/>
        <v>4.9000000000000004</v>
      </c>
    </row>
    <row r="142" spans="1:9" x14ac:dyDescent="0.3">
      <c r="A142">
        <v>695</v>
      </c>
      <c r="B142">
        <v>4</v>
      </c>
      <c r="C142" t="s">
        <v>7</v>
      </c>
      <c r="D142">
        <v>1</v>
      </c>
      <c r="E142">
        <v>2022</v>
      </c>
      <c r="F142">
        <v>4</v>
      </c>
      <c r="G142" t="s">
        <v>7</v>
      </c>
      <c r="H142">
        <v>4.7</v>
      </c>
      <c r="I142">
        <f t="shared" si="2"/>
        <v>4.7</v>
      </c>
    </row>
    <row r="143" spans="1:9" x14ac:dyDescent="0.3">
      <c r="A143">
        <v>696</v>
      </c>
      <c r="B143">
        <v>8</v>
      </c>
      <c r="C143" t="s">
        <v>6</v>
      </c>
      <c r="D143">
        <v>1</v>
      </c>
      <c r="E143">
        <v>2022</v>
      </c>
      <c r="F143">
        <v>8</v>
      </c>
      <c r="G143" t="s">
        <v>6</v>
      </c>
      <c r="H143">
        <v>7.6</v>
      </c>
      <c r="I143">
        <f t="shared" si="2"/>
        <v>7.6</v>
      </c>
    </row>
    <row r="144" spans="1:9" x14ac:dyDescent="0.3">
      <c r="A144">
        <v>696</v>
      </c>
      <c r="B144">
        <v>10</v>
      </c>
      <c r="C144" t="s">
        <v>6</v>
      </c>
      <c r="D144">
        <v>1</v>
      </c>
      <c r="E144">
        <v>2022</v>
      </c>
      <c r="F144">
        <v>10</v>
      </c>
      <c r="G144" t="s">
        <v>6</v>
      </c>
      <c r="H144">
        <v>7.4</v>
      </c>
      <c r="I144">
        <f t="shared" si="2"/>
        <v>7.4</v>
      </c>
    </row>
    <row r="145" spans="1:9" x14ac:dyDescent="0.3">
      <c r="A145">
        <v>697</v>
      </c>
      <c r="B145">
        <v>10</v>
      </c>
      <c r="C145" t="s">
        <v>6</v>
      </c>
      <c r="D145">
        <v>1</v>
      </c>
      <c r="E145">
        <v>2022</v>
      </c>
      <c r="F145">
        <v>10</v>
      </c>
      <c r="G145" t="s">
        <v>6</v>
      </c>
      <c r="H145">
        <v>7.4</v>
      </c>
      <c r="I145">
        <f t="shared" si="2"/>
        <v>7.4</v>
      </c>
    </row>
    <row r="146" spans="1:9" x14ac:dyDescent="0.3">
      <c r="A146">
        <v>697</v>
      </c>
      <c r="B146">
        <v>12</v>
      </c>
      <c r="C146" t="s">
        <v>6</v>
      </c>
      <c r="D146">
        <v>1</v>
      </c>
      <c r="E146">
        <v>2022</v>
      </c>
      <c r="F146">
        <v>12</v>
      </c>
      <c r="G146" t="s">
        <v>6</v>
      </c>
      <c r="H146">
        <v>7.4</v>
      </c>
      <c r="I146">
        <f t="shared" si="2"/>
        <v>7.4</v>
      </c>
    </row>
    <row r="147" spans="1:9" x14ac:dyDescent="0.3">
      <c r="A147">
        <v>698</v>
      </c>
      <c r="B147">
        <v>1</v>
      </c>
      <c r="C147" t="s">
        <v>7</v>
      </c>
      <c r="D147">
        <v>1</v>
      </c>
      <c r="E147">
        <v>2022</v>
      </c>
      <c r="F147">
        <v>1</v>
      </c>
      <c r="G147" t="s">
        <v>7</v>
      </c>
      <c r="H147">
        <v>4.9000000000000004</v>
      </c>
      <c r="I147">
        <f t="shared" si="2"/>
        <v>4.9000000000000004</v>
      </c>
    </row>
    <row r="148" spans="1:9" x14ac:dyDescent="0.3">
      <c r="A148">
        <v>699</v>
      </c>
      <c r="B148">
        <v>9</v>
      </c>
      <c r="C148" t="s">
        <v>6</v>
      </c>
      <c r="D148">
        <v>1</v>
      </c>
      <c r="E148">
        <v>2022</v>
      </c>
      <c r="F148">
        <v>9</v>
      </c>
      <c r="G148" t="s">
        <v>6</v>
      </c>
      <c r="H148">
        <v>7.6</v>
      </c>
      <c r="I148">
        <f t="shared" si="2"/>
        <v>7.6</v>
      </c>
    </row>
    <row r="149" spans="1:9" x14ac:dyDescent="0.3">
      <c r="A149">
        <v>700</v>
      </c>
      <c r="B149">
        <v>2</v>
      </c>
      <c r="C149" t="s">
        <v>7</v>
      </c>
      <c r="D149">
        <v>1</v>
      </c>
      <c r="E149">
        <v>2022</v>
      </c>
      <c r="F149">
        <v>2</v>
      </c>
      <c r="G149" t="s">
        <v>7</v>
      </c>
      <c r="H149">
        <v>4.9000000000000004</v>
      </c>
      <c r="I149">
        <f t="shared" si="2"/>
        <v>4.9000000000000004</v>
      </c>
    </row>
    <row r="150" spans="1:9" x14ac:dyDescent="0.3">
      <c r="A150">
        <v>700</v>
      </c>
      <c r="B150">
        <v>5</v>
      </c>
      <c r="C150" t="s">
        <v>7</v>
      </c>
      <c r="D150">
        <v>1</v>
      </c>
      <c r="E150">
        <v>2022</v>
      </c>
      <c r="F150">
        <v>5</v>
      </c>
      <c r="G150" t="s">
        <v>7</v>
      </c>
      <c r="H150">
        <v>5.2</v>
      </c>
      <c r="I150">
        <f t="shared" si="2"/>
        <v>5.2</v>
      </c>
    </row>
    <row r="151" spans="1:9" x14ac:dyDescent="0.3">
      <c r="A151">
        <v>701</v>
      </c>
      <c r="B151">
        <v>1</v>
      </c>
      <c r="C151" t="s">
        <v>6</v>
      </c>
      <c r="D151">
        <v>1</v>
      </c>
      <c r="E151">
        <v>2022</v>
      </c>
      <c r="F151">
        <v>1</v>
      </c>
      <c r="G151" t="s">
        <v>6</v>
      </c>
      <c r="H151">
        <v>6.5</v>
      </c>
      <c r="I151">
        <f t="shared" si="2"/>
        <v>6.5</v>
      </c>
    </row>
    <row r="152" spans="1:9" x14ac:dyDescent="0.3">
      <c r="A152">
        <v>701</v>
      </c>
      <c r="B152">
        <v>6</v>
      </c>
      <c r="C152" t="s">
        <v>6</v>
      </c>
      <c r="D152">
        <v>1</v>
      </c>
      <c r="E152">
        <v>2022</v>
      </c>
      <c r="F152">
        <v>6</v>
      </c>
      <c r="G152" t="s">
        <v>6</v>
      </c>
      <c r="H152">
        <v>7.4</v>
      </c>
      <c r="I152">
        <f t="shared" si="2"/>
        <v>7.4</v>
      </c>
    </row>
    <row r="153" spans="1:9" x14ac:dyDescent="0.3">
      <c r="A153">
        <v>702</v>
      </c>
      <c r="B153">
        <v>5</v>
      </c>
      <c r="C153" t="s">
        <v>7</v>
      </c>
      <c r="D153">
        <v>1</v>
      </c>
      <c r="E153">
        <v>2022</v>
      </c>
      <c r="F153">
        <v>5</v>
      </c>
      <c r="G153" t="s">
        <v>7</v>
      </c>
      <c r="H153">
        <v>5.2</v>
      </c>
      <c r="I153">
        <f t="shared" si="2"/>
        <v>5.2</v>
      </c>
    </row>
    <row r="154" spans="1:9" x14ac:dyDescent="0.3">
      <c r="A154">
        <v>703</v>
      </c>
      <c r="B154">
        <v>10</v>
      </c>
      <c r="C154" t="s">
        <v>7</v>
      </c>
      <c r="D154">
        <v>2</v>
      </c>
      <c r="E154">
        <v>2022</v>
      </c>
      <c r="F154">
        <v>10</v>
      </c>
      <c r="G154" t="s">
        <v>7</v>
      </c>
      <c r="H154">
        <v>5.2</v>
      </c>
      <c r="I154">
        <f t="shared" si="2"/>
        <v>10.4</v>
      </c>
    </row>
    <row r="155" spans="1:9" x14ac:dyDescent="0.3">
      <c r="A155">
        <v>704</v>
      </c>
      <c r="B155">
        <v>2</v>
      </c>
      <c r="C155" t="s">
        <v>6</v>
      </c>
      <c r="D155">
        <v>1</v>
      </c>
      <c r="E155">
        <v>2022</v>
      </c>
      <c r="F155">
        <v>2</v>
      </c>
      <c r="G155" t="s">
        <v>6</v>
      </c>
      <c r="H155">
        <v>6.5</v>
      </c>
      <c r="I155">
        <f t="shared" si="2"/>
        <v>6.5</v>
      </c>
    </row>
    <row r="156" spans="1:9" x14ac:dyDescent="0.3">
      <c r="A156">
        <v>704</v>
      </c>
      <c r="B156">
        <v>6</v>
      </c>
      <c r="C156" t="s">
        <v>6</v>
      </c>
      <c r="D156">
        <v>1</v>
      </c>
      <c r="E156">
        <v>2022</v>
      </c>
      <c r="F156">
        <v>6</v>
      </c>
      <c r="G156" t="s">
        <v>6</v>
      </c>
      <c r="H156">
        <v>7.4</v>
      </c>
      <c r="I156">
        <f t="shared" si="2"/>
        <v>7.4</v>
      </c>
    </row>
    <row r="157" spans="1:9" x14ac:dyDescent="0.3">
      <c r="A157">
        <v>705</v>
      </c>
      <c r="B157">
        <v>4</v>
      </c>
      <c r="C157" t="s">
        <v>6</v>
      </c>
      <c r="D157">
        <v>2</v>
      </c>
      <c r="E157">
        <v>2022</v>
      </c>
      <c r="F157">
        <v>4</v>
      </c>
      <c r="G157" t="s">
        <v>6</v>
      </c>
      <c r="H157">
        <v>6.5</v>
      </c>
      <c r="I157">
        <f t="shared" si="2"/>
        <v>13</v>
      </c>
    </row>
    <row r="158" spans="1:9" x14ac:dyDescent="0.3">
      <c r="A158">
        <v>706</v>
      </c>
      <c r="B158">
        <v>6</v>
      </c>
      <c r="C158" t="s">
        <v>7</v>
      </c>
      <c r="D158">
        <v>1</v>
      </c>
      <c r="E158">
        <v>2022</v>
      </c>
      <c r="F158">
        <v>6</v>
      </c>
      <c r="G158" t="s">
        <v>7</v>
      </c>
      <c r="H158">
        <v>5.2</v>
      </c>
      <c r="I158">
        <f t="shared" si="2"/>
        <v>5.2</v>
      </c>
    </row>
    <row r="159" spans="1:9" x14ac:dyDescent="0.3">
      <c r="A159">
        <v>707</v>
      </c>
      <c r="B159">
        <v>9</v>
      </c>
      <c r="C159" t="s">
        <v>6</v>
      </c>
      <c r="D159">
        <v>3</v>
      </c>
      <c r="E159">
        <v>2022</v>
      </c>
      <c r="F159">
        <v>9</v>
      </c>
      <c r="G159" t="s">
        <v>6</v>
      </c>
      <c r="H159">
        <v>7.6</v>
      </c>
      <c r="I159">
        <f t="shared" si="2"/>
        <v>22.799999999999997</v>
      </c>
    </row>
    <row r="160" spans="1:9" x14ac:dyDescent="0.3">
      <c r="A160">
        <v>708</v>
      </c>
      <c r="B160">
        <v>1</v>
      </c>
      <c r="C160" t="s">
        <v>7</v>
      </c>
      <c r="D160">
        <v>1</v>
      </c>
      <c r="E160">
        <v>2022</v>
      </c>
      <c r="F160">
        <v>1</v>
      </c>
      <c r="G160" t="s">
        <v>7</v>
      </c>
      <c r="H160">
        <v>4.9000000000000004</v>
      </c>
      <c r="I160">
        <f t="shared" si="2"/>
        <v>4.9000000000000004</v>
      </c>
    </row>
    <row r="161" spans="1:9" x14ac:dyDescent="0.3">
      <c r="A161">
        <v>708</v>
      </c>
      <c r="B161">
        <v>3</v>
      </c>
      <c r="C161" t="s">
        <v>7</v>
      </c>
      <c r="D161">
        <v>1</v>
      </c>
      <c r="E161">
        <v>2022</v>
      </c>
      <c r="F161">
        <v>3</v>
      </c>
      <c r="G161" t="s">
        <v>7</v>
      </c>
      <c r="H161">
        <v>4.9000000000000004</v>
      </c>
      <c r="I161">
        <f t="shared" si="2"/>
        <v>4.9000000000000004</v>
      </c>
    </row>
    <row r="162" spans="1:9" x14ac:dyDescent="0.3">
      <c r="A162">
        <v>709</v>
      </c>
      <c r="B162">
        <v>5</v>
      </c>
      <c r="C162" t="s">
        <v>6</v>
      </c>
      <c r="D162">
        <v>1</v>
      </c>
      <c r="E162">
        <v>2022</v>
      </c>
      <c r="F162">
        <v>5</v>
      </c>
      <c r="G162" t="s">
        <v>6</v>
      </c>
      <c r="H162">
        <v>7.4</v>
      </c>
      <c r="I162">
        <f t="shared" si="2"/>
        <v>7.4</v>
      </c>
    </row>
    <row r="163" spans="1:9" x14ac:dyDescent="0.3">
      <c r="A163">
        <v>709</v>
      </c>
      <c r="B163">
        <v>8</v>
      </c>
      <c r="C163" t="s">
        <v>6</v>
      </c>
      <c r="D163">
        <v>1</v>
      </c>
      <c r="E163">
        <v>2022</v>
      </c>
      <c r="F163">
        <v>8</v>
      </c>
      <c r="G163" t="s">
        <v>6</v>
      </c>
      <c r="H163">
        <v>7.6</v>
      </c>
      <c r="I163">
        <f t="shared" si="2"/>
        <v>7.6</v>
      </c>
    </row>
    <row r="164" spans="1:9" x14ac:dyDescent="0.3">
      <c r="A164">
        <v>710</v>
      </c>
      <c r="B164">
        <v>5</v>
      </c>
      <c r="C164" t="s">
        <v>7</v>
      </c>
      <c r="D164">
        <v>1</v>
      </c>
      <c r="E164">
        <v>2022</v>
      </c>
      <c r="F164">
        <v>5</v>
      </c>
      <c r="G164" t="s">
        <v>7</v>
      </c>
      <c r="H164">
        <v>5.2</v>
      </c>
      <c r="I164">
        <f t="shared" si="2"/>
        <v>5.2</v>
      </c>
    </row>
    <row r="165" spans="1:9" x14ac:dyDescent="0.3">
      <c r="A165">
        <v>710</v>
      </c>
      <c r="B165">
        <v>8</v>
      </c>
      <c r="C165" t="s">
        <v>7</v>
      </c>
      <c r="D165">
        <v>1</v>
      </c>
      <c r="E165">
        <v>2022</v>
      </c>
      <c r="F165">
        <v>8</v>
      </c>
      <c r="G165" t="s">
        <v>7</v>
      </c>
      <c r="H165">
        <v>5.0999999999999996</v>
      </c>
      <c r="I165">
        <f t="shared" si="2"/>
        <v>5.0999999999999996</v>
      </c>
    </row>
    <row r="166" spans="1:9" x14ac:dyDescent="0.3">
      <c r="A166">
        <v>711</v>
      </c>
      <c r="B166">
        <v>10</v>
      </c>
      <c r="C166" t="s">
        <v>7</v>
      </c>
      <c r="D166">
        <v>3</v>
      </c>
      <c r="E166">
        <v>2022</v>
      </c>
      <c r="F166">
        <v>10</v>
      </c>
      <c r="G166" t="s">
        <v>7</v>
      </c>
      <c r="H166">
        <v>5.2</v>
      </c>
      <c r="I166">
        <f t="shared" si="2"/>
        <v>15.600000000000001</v>
      </c>
    </row>
    <row r="167" spans="1:9" x14ac:dyDescent="0.3">
      <c r="A167">
        <v>712</v>
      </c>
      <c r="B167">
        <v>1</v>
      </c>
      <c r="C167" t="s">
        <v>7</v>
      </c>
      <c r="D167">
        <v>1</v>
      </c>
      <c r="E167">
        <v>2022</v>
      </c>
      <c r="F167">
        <v>1</v>
      </c>
      <c r="G167" t="s">
        <v>7</v>
      </c>
      <c r="H167">
        <v>4.9000000000000004</v>
      </c>
      <c r="I167">
        <f t="shared" si="2"/>
        <v>4.9000000000000004</v>
      </c>
    </row>
    <row r="168" spans="1:9" x14ac:dyDescent="0.3">
      <c r="A168">
        <v>713</v>
      </c>
      <c r="B168">
        <v>9</v>
      </c>
      <c r="C168" t="s">
        <v>6</v>
      </c>
      <c r="D168">
        <v>2</v>
      </c>
      <c r="E168">
        <v>2022</v>
      </c>
      <c r="F168">
        <v>9</v>
      </c>
      <c r="G168" t="s">
        <v>6</v>
      </c>
      <c r="H168">
        <v>7.6</v>
      </c>
      <c r="I168">
        <f t="shared" si="2"/>
        <v>15.2</v>
      </c>
    </row>
    <row r="169" spans="1:9" x14ac:dyDescent="0.3">
      <c r="A169">
        <v>714</v>
      </c>
      <c r="B169">
        <v>2</v>
      </c>
      <c r="C169" t="s">
        <v>6</v>
      </c>
      <c r="D169">
        <v>2</v>
      </c>
      <c r="E169">
        <v>2022</v>
      </c>
      <c r="F169">
        <v>2</v>
      </c>
      <c r="G169" t="s">
        <v>6</v>
      </c>
      <c r="H169">
        <v>6.5</v>
      </c>
      <c r="I169">
        <f t="shared" si="2"/>
        <v>13</v>
      </c>
    </row>
    <row r="170" spans="1:9" x14ac:dyDescent="0.3">
      <c r="A170">
        <v>715</v>
      </c>
      <c r="B170">
        <v>1</v>
      </c>
      <c r="C170" t="s">
        <v>7</v>
      </c>
      <c r="D170">
        <v>1</v>
      </c>
      <c r="E170">
        <v>2022</v>
      </c>
      <c r="F170">
        <v>1</v>
      </c>
      <c r="G170" t="s">
        <v>7</v>
      </c>
      <c r="H170">
        <v>4.9000000000000004</v>
      </c>
      <c r="I170">
        <f t="shared" si="2"/>
        <v>4.9000000000000004</v>
      </c>
    </row>
    <row r="171" spans="1:9" x14ac:dyDescent="0.3">
      <c r="A171">
        <v>715</v>
      </c>
      <c r="B171">
        <v>6</v>
      </c>
      <c r="C171" t="s">
        <v>7</v>
      </c>
      <c r="D171">
        <v>1</v>
      </c>
      <c r="E171">
        <v>2022</v>
      </c>
      <c r="F171">
        <v>6</v>
      </c>
      <c r="G171" t="s">
        <v>7</v>
      </c>
      <c r="H171">
        <v>5.2</v>
      </c>
      <c r="I171">
        <f t="shared" si="2"/>
        <v>5.2</v>
      </c>
    </row>
    <row r="172" spans="1:9" x14ac:dyDescent="0.3">
      <c r="A172">
        <v>716</v>
      </c>
      <c r="B172">
        <v>5</v>
      </c>
      <c r="C172" t="s">
        <v>6</v>
      </c>
      <c r="D172">
        <v>1</v>
      </c>
      <c r="E172">
        <v>2022</v>
      </c>
      <c r="F172">
        <v>5</v>
      </c>
      <c r="G172" t="s">
        <v>6</v>
      </c>
      <c r="H172">
        <v>7.4</v>
      </c>
      <c r="I172">
        <f t="shared" si="2"/>
        <v>7.4</v>
      </c>
    </row>
    <row r="173" spans="1:9" x14ac:dyDescent="0.3">
      <c r="A173">
        <v>716</v>
      </c>
      <c r="B173">
        <v>9</v>
      </c>
      <c r="C173" t="s">
        <v>6</v>
      </c>
      <c r="D173">
        <v>1</v>
      </c>
      <c r="E173">
        <v>2022</v>
      </c>
      <c r="F173">
        <v>9</v>
      </c>
      <c r="G173" t="s">
        <v>6</v>
      </c>
      <c r="H173">
        <v>7.6</v>
      </c>
      <c r="I173">
        <f t="shared" si="2"/>
        <v>7.6</v>
      </c>
    </row>
    <row r="174" spans="1:9" x14ac:dyDescent="0.3">
      <c r="A174">
        <v>717</v>
      </c>
      <c r="B174">
        <v>10</v>
      </c>
      <c r="C174" t="s">
        <v>7</v>
      </c>
      <c r="D174">
        <v>1</v>
      </c>
      <c r="E174">
        <v>2022</v>
      </c>
      <c r="F174">
        <v>10</v>
      </c>
      <c r="G174" t="s">
        <v>7</v>
      </c>
      <c r="H174">
        <v>5.2</v>
      </c>
      <c r="I174">
        <f t="shared" si="2"/>
        <v>5.2</v>
      </c>
    </row>
    <row r="175" spans="1:9" x14ac:dyDescent="0.3">
      <c r="A175">
        <v>718</v>
      </c>
      <c r="B175">
        <v>2</v>
      </c>
      <c r="C175" t="s">
        <v>6</v>
      </c>
      <c r="D175">
        <v>2</v>
      </c>
      <c r="E175">
        <v>2022</v>
      </c>
      <c r="F175">
        <v>2</v>
      </c>
      <c r="G175" t="s">
        <v>6</v>
      </c>
      <c r="H175">
        <v>6.5</v>
      </c>
      <c r="I175">
        <f t="shared" si="2"/>
        <v>13</v>
      </c>
    </row>
    <row r="176" spans="1:9" x14ac:dyDescent="0.3">
      <c r="A176">
        <v>719</v>
      </c>
      <c r="B176">
        <v>4</v>
      </c>
      <c r="C176" t="s">
        <v>7</v>
      </c>
      <c r="D176">
        <v>3</v>
      </c>
      <c r="E176">
        <v>2022</v>
      </c>
      <c r="F176">
        <v>4</v>
      </c>
      <c r="G176" t="s">
        <v>7</v>
      </c>
      <c r="H176">
        <v>4.7</v>
      </c>
      <c r="I176">
        <f t="shared" si="2"/>
        <v>14.100000000000001</v>
      </c>
    </row>
    <row r="177" spans="1:9" x14ac:dyDescent="0.3">
      <c r="A177">
        <v>720</v>
      </c>
      <c r="B177">
        <v>6</v>
      </c>
      <c r="C177" t="s">
        <v>6</v>
      </c>
      <c r="D177">
        <v>1</v>
      </c>
      <c r="E177">
        <v>2022</v>
      </c>
      <c r="F177">
        <v>6</v>
      </c>
      <c r="G177" t="s">
        <v>6</v>
      </c>
      <c r="H177">
        <v>7.4</v>
      </c>
      <c r="I177">
        <f t="shared" si="2"/>
        <v>7.4</v>
      </c>
    </row>
    <row r="178" spans="1:9" x14ac:dyDescent="0.3">
      <c r="A178">
        <v>721</v>
      </c>
      <c r="B178">
        <v>9</v>
      </c>
      <c r="C178" t="s">
        <v>7</v>
      </c>
      <c r="D178">
        <v>1</v>
      </c>
      <c r="E178">
        <v>2022</v>
      </c>
      <c r="F178">
        <v>9</v>
      </c>
      <c r="G178" t="s">
        <v>7</v>
      </c>
      <c r="H178">
        <v>5.0999999999999996</v>
      </c>
      <c r="I178">
        <f t="shared" si="2"/>
        <v>5.0999999999999996</v>
      </c>
    </row>
    <row r="179" spans="1:9" x14ac:dyDescent="0.3">
      <c r="A179">
        <v>721</v>
      </c>
      <c r="B179">
        <v>10</v>
      </c>
      <c r="C179" t="s">
        <v>7</v>
      </c>
      <c r="D179">
        <v>1</v>
      </c>
      <c r="E179">
        <v>2022</v>
      </c>
      <c r="F179">
        <v>10</v>
      </c>
      <c r="G179" t="s">
        <v>7</v>
      </c>
      <c r="H179">
        <v>5.2</v>
      </c>
      <c r="I179">
        <f t="shared" si="2"/>
        <v>5.2</v>
      </c>
    </row>
    <row r="180" spans="1:9" x14ac:dyDescent="0.3">
      <c r="A180">
        <v>722</v>
      </c>
      <c r="B180">
        <v>11</v>
      </c>
      <c r="C180" t="s">
        <v>8</v>
      </c>
      <c r="D180">
        <v>2</v>
      </c>
      <c r="E180">
        <v>2022</v>
      </c>
      <c r="F180">
        <v>11</v>
      </c>
      <c r="G180" t="s">
        <v>8</v>
      </c>
      <c r="H180">
        <v>4</v>
      </c>
      <c r="I180">
        <f t="shared" si="2"/>
        <v>8</v>
      </c>
    </row>
    <row r="181" spans="1:9" x14ac:dyDescent="0.3">
      <c r="A181">
        <v>723</v>
      </c>
      <c r="B181">
        <v>12</v>
      </c>
      <c r="C181" t="s">
        <v>7</v>
      </c>
      <c r="D181">
        <v>1</v>
      </c>
      <c r="E181">
        <v>2022</v>
      </c>
      <c r="F181">
        <v>12</v>
      </c>
      <c r="G181" t="s">
        <v>7</v>
      </c>
      <c r="H181">
        <v>5.2</v>
      </c>
      <c r="I181">
        <f t="shared" si="2"/>
        <v>5.2</v>
      </c>
    </row>
    <row r="182" spans="1:9" x14ac:dyDescent="0.3">
      <c r="A182">
        <v>724</v>
      </c>
      <c r="B182">
        <v>9</v>
      </c>
      <c r="C182" t="s">
        <v>7</v>
      </c>
      <c r="D182">
        <v>2</v>
      </c>
      <c r="E182">
        <v>2022</v>
      </c>
      <c r="F182">
        <v>9</v>
      </c>
      <c r="G182" t="s">
        <v>7</v>
      </c>
      <c r="H182">
        <v>5.0999999999999996</v>
      </c>
      <c r="I182">
        <f t="shared" si="2"/>
        <v>10.199999999999999</v>
      </c>
    </row>
    <row r="183" spans="1:9" x14ac:dyDescent="0.3">
      <c r="A183">
        <v>725</v>
      </c>
      <c r="B183">
        <v>4</v>
      </c>
      <c r="C183" t="s">
        <v>6</v>
      </c>
      <c r="D183">
        <v>1</v>
      </c>
      <c r="E183">
        <v>2022</v>
      </c>
      <c r="F183">
        <v>4</v>
      </c>
      <c r="G183" t="s">
        <v>6</v>
      </c>
      <c r="H183">
        <v>6.5</v>
      </c>
      <c r="I183">
        <f t="shared" si="2"/>
        <v>6.5</v>
      </c>
    </row>
    <row r="184" spans="1:9" x14ac:dyDescent="0.3">
      <c r="A184">
        <v>725</v>
      </c>
      <c r="B184">
        <v>11</v>
      </c>
      <c r="C184" t="s">
        <v>6</v>
      </c>
      <c r="D184">
        <v>1</v>
      </c>
      <c r="E184">
        <v>2022</v>
      </c>
      <c r="F184">
        <v>11</v>
      </c>
      <c r="G184" t="s">
        <v>6</v>
      </c>
      <c r="H184">
        <v>7.4</v>
      </c>
      <c r="I184">
        <f t="shared" si="2"/>
        <v>7.4</v>
      </c>
    </row>
    <row r="185" spans="1:9" x14ac:dyDescent="0.3">
      <c r="A185">
        <v>726</v>
      </c>
      <c r="B185">
        <v>12</v>
      </c>
      <c r="C185" t="s">
        <v>7</v>
      </c>
      <c r="D185">
        <v>3</v>
      </c>
      <c r="E185">
        <v>2022</v>
      </c>
      <c r="F185">
        <v>12</v>
      </c>
      <c r="G185" t="s">
        <v>7</v>
      </c>
      <c r="H185">
        <v>5.2</v>
      </c>
      <c r="I185">
        <f t="shared" si="2"/>
        <v>15.600000000000001</v>
      </c>
    </row>
    <row r="186" spans="1:9" x14ac:dyDescent="0.3">
      <c r="A186">
        <v>727</v>
      </c>
      <c r="B186">
        <v>7</v>
      </c>
      <c r="C186" t="s">
        <v>7</v>
      </c>
      <c r="D186">
        <v>1</v>
      </c>
      <c r="E186">
        <v>2022</v>
      </c>
      <c r="F186">
        <v>7</v>
      </c>
      <c r="G186" t="s">
        <v>7</v>
      </c>
      <c r="H186">
        <v>5.2</v>
      </c>
      <c r="I186">
        <f t="shared" si="2"/>
        <v>5.2</v>
      </c>
    </row>
    <row r="187" spans="1:9" x14ac:dyDescent="0.3">
      <c r="A187">
        <v>728</v>
      </c>
      <c r="B187">
        <v>2</v>
      </c>
      <c r="C187" t="s">
        <v>7</v>
      </c>
      <c r="D187">
        <v>1</v>
      </c>
      <c r="E187">
        <v>2022</v>
      </c>
      <c r="F187">
        <v>2</v>
      </c>
      <c r="G187" t="s">
        <v>7</v>
      </c>
      <c r="H187">
        <v>4.9000000000000004</v>
      </c>
      <c r="I187">
        <f t="shared" si="2"/>
        <v>4.9000000000000004</v>
      </c>
    </row>
    <row r="188" spans="1:9" x14ac:dyDescent="0.3">
      <c r="A188">
        <v>728</v>
      </c>
      <c r="B188">
        <v>4</v>
      </c>
      <c r="C188" t="s">
        <v>7</v>
      </c>
      <c r="D188">
        <v>1</v>
      </c>
      <c r="E188">
        <v>2022</v>
      </c>
      <c r="F188">
        <v>4</v>
      </c>
      <c r="G188" t="s">
        <v>7</v>
      </c>
      <c r="H188">
        <v>4.7</v>
      </c>
      <c r="I188">
        <f t="shared" si="2"/>
        <v>4.7</v>
      </c>
    </row>
    <row r="189" spans="1:9" x14ac:dyDescent="0.3">
      <c r="A189">
        <v>729</v>
      </c>
      <c r="B189">
        <v>5</v>
      </c>
      <c r="C189" t="s">
        <v>6</v>
      </c>
      <c r="D189">
        <v>1</v>
      </c>
      <c r="E189">
        <v>2022</v>
      </c>
      <c r="F189">
        <v>5</v>
      </c>
      <c r="G189" t="s">
        <v>6</v>
      </c>
      <c r="H189">
        <v>7.4</v>
      </c>
      <c r="I189">
        <f t="shared" si="2"/>
        <v>7.4</v>
      </c>
    </row>
    <row r="190" spans="1:9" x14ac:dyDescent="0.3">
      <c r="A190">
        <v>729</v>
      </c>
      <c r="B190">
        <v>7</v>
      </c>
      <c r="C190" t="s">
        <v>6</v>
      </c>
      <c r="D190">
        <v>1</v>
      </c>
      <c r="E190">
        <v>2022</v>
      </c>
      <c r="F190">
        <v>7</v>
      </c>
      <c r="G190" t="s">
        <v>6</v>
      </c>
      <c r="H190">
        <v>7.4</v>
      </c>
      <c r="I190">
        <f t="shared" si="2"/>
        <v>7.4</v>
      </c>
    </row>
    <row r="191" spans="1:9" x14ac:dyDescent="0.3">
      <c r="A191">
        <v>730</v>
      </c>
      <c r="B191">
        <v>3</v>
      </c>
      <c r="C191" t="s">
        <v>6</v>
      </c>
      <c r="D191">
        <v>3</v>
      </c>
      <c r="E191">
        <v>2022</v>
      </c>
      <c r="F191">
        <v>3</v>
      </c>
      <c r="G191" t="s">
        <v>6</v>
      </c>
      <c r="H191">
        <v>6.5</v>
      </c>
      <c r="I191">
        <f t="shared" si="2"/>
        <v>19.5</v>
      </c>
    </row>
    <row r="192" spans="1:9" x14ac:dyDescent="0.3">
      <c r="A192">
        <v>731</v>
      </c>
      <c r="B192">
        <v>9</v>
      </c>
      <c r="C192" t="s">
        <v>6</v>
      </c>
      <c r="D192">
        <v>1</v>
      </c>
      <c r="E192">
        <v>2022</v>
      </c>
      <c r="F192">
        <v>9</v>
      </c>
      <c r="G192" t="s">
        <v>6</v>
      </c>
      <c r="H192">
        <v>7.6</v>
      </c>
      <c r="I192">
        <f t="shared" si="2"/>
        <v>7.6</v>
      </c>
    </row>
    <row r="193" spans="1:9" x14ac:dyDescent="0.3">
      <c r="A193">
        <v>732</v>
      </c>
      <c r="B193">
        <v>11</v>
      </c>
      <c r="C193" t="s">
        <v>8</v>
      </c>
      <c r="D193">
        <v>2</v>
      </c>
      <c r="E193">
        <v>2022</v>
      </c>
      <c r="F193">
        <v>11</v>
      </c>
      <c r="G193" t="s">
        <v>8</v>
      </c>
      <c r="H193">
        <v>4</v>
      </c>
      <c r="I193">
        <f t="shared" si="2"/>
        <v>8</v>
      </c>
    </row>
    <row r="194" spans="1:9" x14ac:dyDescent="0.3">
      <c r="A194">
        <v>733</v>
      </c>
      <c r="B194">
        <v>11</v>
      </c>
      <c r="C194" t="s">
        <v>8</v>
      </c>
      <c r="D194">
        <v>2</v>
      </c>
      <c r="E194">
        <v>2022</v>
      </c>
      <c r="F194">
        <v>11</v>
      </c>
      <c r="G194" t="s">
        <v>8</v>
      </c>
      <c r="H194">
        <v>4</v>
      </c>
      <c r="I194">
        <f t="shared" si="2"/>
        <v>8</v>
      </c>
    </row>
    <row r="195" spans="1:9" x14ac:dyDescent="0.3">
      <c r="A195">
        <v>733</v>
      </c>
      <c r="B195">
        <v>12</v>
      </c>
      <c r="C195" t="s">
        <v>7</v>
      </c>
      <c r="D195">
        <v>2</v>
      </c>
      <c r="E195">
        <v>2022</v>
      </c>
      <c r="F195">
        <v>12</v>
      </c>
      <c r="G195" t="s">
        <v>7</v>
      </c>
      <c r="H195">
        <v>5.2</v>
      </c>
      <c r="I195">
        <f t="shared" ref="I195:I258" si="3">D195*H195</f>
        <v>10.4</v>
      </c>
    </row>
    <row r="196" spans="1:9" x14ac:dyDescent="0.3">
      <c r="A196">
        <v>734</v>
      </c>
      <c r="B196">
        <v>7</v>
      </c>
      <c r="C196" t="s">
        <v>7</v>
      </c>
      <c r="D196">
        <v>1</v>
      </c>
      <c r="E196">
        <v>2022</v>
      </c>
      <c r="F196">
        <v>7</v>
      </c>
      <c r="G196" t="s">
        <v>7</v>
      </c>
      <c r="H196">
        <v>5.2</v>
      </c>
      <c r="I196">
        <f t="shared" si="3"/>
        <v>5.2</v>
      </c>
    </row>
    <row r="197" spans="1:9" x14ac:dyDescent="0.3">
      <c r="A197">
        <v>734</v>
      </c>
      <c r="B197">
        <v>12</v>
      </c>
      <c r="C197" t="s">
        <v>7</v>
      </c>
      <c r="D197">
        <v>1</v>
      </c>
      <c r="E197">
        <v>2022</v>
      </c>
      <c r="F197">
        <v>12</v>
      </c>
      <c r="G197" t="s">
        <v>7</v>
      </c>
      <c r="H197">
        <v>5.2</v>
      </c>
      <c r="I197">
        <f t="shared" si="3"/>
        <v>5.2</v>
      </c>
    </row>
    <row r="198" spans="1:9" x14ac:dyDescent="0.3">
      <c r="A198">
        <v>735</v>
      </c>
      <c r="B198">
        <v>2</v>
      </c>
      <c r="C198" t="s">
        <v>7</v>
      </c>
      <c r="D198">
        <v>1</v>
      </c>
      <c r="E198">
        <v>2022</v>
      </c>
      <c r="F198">
        <v>2</v>
      </c>
      <c r="G198" t="s">
        <v>7</v>
      </c>
      <c r="H198">
        <v>4.9000000000000004</v>
      </c>
      <c r="I198">
        <f t="shared" si="3"/>
        <v>4.9000000000000004</v>
      </c>
    </row>
    <row r="199" spans="1:9" x14ac:dyDescent="0.3">
      <c r="A199">
        <v>735</v>
      </c>
      <c r="B199">
        <v>3</v>
      </c>
      <c r="C199" t="s">
        <v>7</v>
      </c>
      <c r="D199">
        <v>1</v>
      </c>
      <c r="E199">
        <v>2022</v>
      </c>
      <c r="F199">
        <v>3</v>
      </c>
      <c r="G199" t="s">
        <v>7</v>
      </c>
      <c r="H199">
        <v>4.9000000000000004</v>
      </c>
      <c r="I199">
        <f t="shared" si="3"/>
        <v>4.9000000000000004</v>
      </c>
    </row>
    <row r="200" spans="1:9" x14ac:dyDescent="0.3">
      <c r="A200">
        <v>736</v>
      </c>
      <c r="B200">
        <v>5</v>
      </c>
      <c r="C200" t="s">
        <v>6</v>
      </c>
      <c r="D200">
        <v>1</v>
      </c>
      <c r="E200">
        <v>2022</v>
      </c>
      <c r="F200">
        <v>5</v>
      </c>
      <c r="G200" t="s">
        <v>6</v>
      </c>
      <c r="H200">
        <v>7.4</v>
      </c>
      <c r="I200">
        <f t="shared" si="3"/>
        <v>7.4</v>
      </c>
    </row>
    <row r="201" spans="1:9" x14ac:dyDescent="0.3">
      <c r="A201">
        <v>737</v>
      </c>
      <c r="B201">
        <v>3</v>
      </c>
      <c r="C201" t="s">
        <v>6</v>
      </c>
      <c r="D201">
        <v>4</v>
      </c>
      <c r="E201">
        <v>2022</v>
      </c>
      <c r="F201">
        <v>3</v>
      </c>
      <c r="G201" t="s">
        <v>6</v>
      </c>
      <c r="H201">
        <v>6.5</v>
      </c>
      <c r="I201">
        <f t="shared" si="3"/>
        <v>26</v>
      </c>
    </row>
    <row r="202" spans="1:9" x14ac:dyDescent="0.3">
      <c r="A202">
        <v>737</v>
      </c>
      <c r="B202">
        <v>5</v>
      </c>
      <c r="C202" t="s">
        <v>6</v>
      </c>
      <c r="D202">
        <v>1</v>
      </c>
      <c r="E202">
        <v>2022</v>
      </c>
      <c r="F202">
        <v>5</v>
      </c>
      <c r="G202" t="s">
        <v>6</v>
      </c>
      <c r="H202">
        <v>7.4</v>
      </c>
      <c r="I202">
        <f t="shared" si="3"/>
        <v>7.4</v>
      </c>
    </row>
    <row r="203" spans="1:9" x14ac:dyDescent="0.3">
      <c r="A203">
        <v>737</v>
      </c>
      <c r="B203">
        <v>5</v>
      </c>
      <c r="C203" t="s">
        <v>7</v>
      </c>
      <c r="D203">
        <v>1</v>
      </c>
      <c r="E203">
        <v>2022</v>
      </c>
      <c r="F203">
        <v>5</v>
      </c>
      <c r="G203" t="s">
        <v>7</v>
      </c>
      <c r="H203">
        <v>5.2</v>
      </c>
      <c r="I203">
        <f t="shared" si="3"/>
        <v>5.2</v>
      </c>
    </row>
    <row r="204" spans="1:9" x14ac:dyDescent="0.3">
      <c r="A204">
        <v>737</v>
      </c>
      <c r="B204">
        <v>7</v>
      </c>
      <c r="C204" t="s">
        <v>6</v>
      </c>
      <c r="D204">
        <v>1</v>
      </c>
      <c r="E204">
        <v>2022</v>
      </c>
      <c r="F204">
        <v>7</v>
      </c>
      <c r="G204" t="s">
        <v>6</v>
      </c>
      <c r="H204">
        <v>7.4</v>
      </c>
      <c r="I204">
        <f t="shared" si="3"/>
        <v>7.4</v>
      </c>
    </row>
    <row r="205" spans="1:9" x14ac:dyDescent="0.3">
      <c r="A205">
        <v>737</v>
      </c>
      <c r="B205">
        <v>9</v>
      </c>
      <c r="C205" t="s">
        <v>6</v>
      </c>
      <c r="D205">
        <v>1</v>
      </c>
      <c r="E205">
        <v>2022</v>
      </c>
      <c r="F205">
        <v>9</v>
      </c>
      <c r="G205" t="s">
        <v>6</v>
      </c>
      <c r="H205">
        <v>7.6</v>
      </c>
      <c r="I205">
        <f t="shared" si="3"/>
        <v>7.6</v>
      </c>
    </row>
    <row r="206" spans="1:9" x14ac:dyDescent="0.3">
      <c r="A206">
        <v>737</v>
      </c>
      <c r="B206">
        <v>10</v>
      </c>
      <c r="C206" t="s">
        <v>7</v>
      </c>
      <c r="D206">
        <v>2</v>
      </c>
      <c r="E206">
        <v>2022</v>
      </c>
      <c r="F206">
        <v>10</v>
      </c>
      <c r="G206" t="s">
        <v>7</v>
      </c>
      <c r="H206">
        <v>5.2</v>
      </c>
      <c r="I206">
        <f t="shared" si="3"/>
        <v>10.4</v>
      </c>
    </row>
    <row r="207" spans="1:9" x14ac:dyDescent="0.3">
      <c r="A207">
        <v>737</v>
      </c>
      <c r="B207">
        <v>11</v>
      </c>
      <c r="C207" t="s">
        <v>7</v>
      </c>
      <c r="D207">
        <v>1</v>
      </c>
      <c r="E207">
        <v>2022</v>
      </c>
      <c r="F207">
        <v>11</v>
      </c>
      <c r="G207" t="s">
        <v>7</v>
      </c>
      <c r="H207">
        <v>5.2</v>
      </c>
      <c r="I207">
        <f t="shared" si="3"/>
        <v>5.2</v>
      </c>
    </row>
    <row r="208" spans="1:9" x14ac:dyDescent="0.3">
      <c r="A208">
        <v>738</v>
      </c>
      <c r="B208">
        <v>7</v>
      </c>
      <c r="C208" t="s">
        <v>7</v>
      </c>
      <c r="D208">
        <v>1</v>
      </c>
      <c r="E208">
        <v>2022</v>
      </c>
      <c r="F208">
        <v>7</v>
      </c>
      <c r="G208" t="s">
        <v>7</v>
      </c>
      <c r="H208">
        <v>5.2</v>
      </c>
      <c r="I208">
        <f t="shared" si="3"/>
        <v>5.2</v>
      </c>
    </row>
    <row r="209" spans="1:9" x14ac:dyDescent="0.3">
      <c r="A209">
        <v>739</v>
      </c>
      <c r="B209">
        <v>6</v>
      </c>
      <c r="C209" t="s">
        <v>6</v>
      </c>
      <c r="D209">
        <v>1</v>
      </c>
      <c r="E209">
        <v>2022</v>
      </c>
      <c r="F209">
        <v>6</v>
      </c>
      <c r="G209" t="s">
        <v>6</v>
      </c>
      <c r="H209">
        <v>7.4</v>
      </c>
      <c r="I209">
        <f t="shared" si="3"/>
        <v>7.4</v>
      </c>
    </row>
    <row r="210" spans="1:9" x14ac:dyDescent="0.3">
      <c r="A210">
        <v>740</v>
      </c>
      <c r="B210">
        <v>1</v>
      </c>
      <c r="C210" t="s">
        <v>7</v>
      </c>
      <c r="D210">
        <v>1</v>
      </c>
      <c r="E210">
        <v>2022</v>
      </c>
      <c r="F210">
        <v>1</v>
      </c>
      <c r="G210" t="s">
        <v>7</v>
      </c>
      <c r="H210">
        <v>4.9000000000000004</v>
      </c>
      <c r="I210">
        <f t="shared" si="3"/>
        <v>4.9000000000000004</v>
      </c>
    </row>
    <row r="211" spans="1:9" x14ac:dyDescent="0.3">
      <c r="A211">
        <v>741</v>
      </c>
      <c r="B211">
        <v>6</v>
      </c>
      <c r="C211" t="s">
        <v>8</v>
      </c>
      <c r="D211">
        <v>2</v>
      </c>
      <c r="E211">
        <v>2022</v>
      </c>
      <c r="F211">
        <v>6</v>
      </c>
      <c r="G211" t="s">
        <v>8</v>
      </c>
      <c r="H211">
        <v>4</v>
      </c>
      <c r="I211">
        <f t="shared" si="3"/>
        <v>8</v>
      </c>
    </row>
    <row r="212" spans="1:9" x14ac:dyDescent="0.3">
      <c r="A212">
        <v>741</v>
      </c>
      <c r="B212">
        <v>12</v>
      </c>
      <c r="C212" t="s">
        <v>6</v>
      </c>
      <c r="D212">
        <v>2</v>
      </c>
      <c r="E212">
        <v>2022</v>
      </c>
      <c r="F212">
        <v>12</v>
      </c>
      <c r="G212" t="s">
        <v>6</v>
      </c>
      <c r="H212">
        <v>7.4</v>
      </c>
      <c r="I212">
        <f t="shared" si="3"/>
        <v>14.8</v>
      </c>
    </row>
    <row r="213" spans="1:9" x14ac:dyDescent="0.3">
      <c r="A213">
        <v>742</v>
      </c>
      <c r="B213">
        <v>9</v>
      </c>
      <c r="C213" t="s">
        <v>7</v>
      </c>
      <c r="D213">
        <v>1</v>
      </c>
      <c r="E213">
        <v>2022</v>
      </c>
      <c r="F213">
        <v>9</v>
      </c>
      <c r="G213" t="s">
        <v>7</v>
      </c>
      <c r="H213">
        <v>5.0999999999999996</v>
      </c>
      <c r="I213">
        <f t="shared" si="3"/>
        <v>5.0999999999999996</v>
      </c>
    </row>
    <row r="214" spans="1:9" x14ac:dyDescent="0.3">
      <c r="A214">
        <v>743</v>
      </c>
      <c r="B214">
        <v>10</v>
      </c>
      <c r="C214" t="s">
        <v>7</v>
      </c>
      <c r="D214">
        <v>2</v>
      </c>
      <c r="E214">
        <v>2022</v>
      </c>
      <c r="F214">
        <v>10</v>
      </c>
      <c r="G214" t="s">
        <v>7</v>
      </c>
      <c r="H214">
        <v>5.2</v>
      </c>
      <c r="I214">
        <f t="shared" si="3"/>
        <v>10.4</v>
      </c>
    </row>
    <row r="215" spans="1:9" x14ac:dyDescent="0.3">
      <c r="A215">
        <v>744</v>
      </c>
      <c r="B215">
        <v>7</v>
      </c>
      <c r="C215" t="s">
        <v>7</v>
      </c>
      <c r="D215">
        <v>1</v>
      </c>
      <c r="E215">
        <v>2022</v>
      </c>
      <c r="F215">
        <v>7</v>
      </c>
      <c r="G215" t="s">
        <v>7</v>
      </c>
      <c r="H215">
        <v>5.2</v>
      </c>
      <c r="I215">
        <f t="shared" si="3"/>
        <v>5.2</v>
      </c>
    </row>
    <row r="216" spans="1:9" x14ac:dyDescent="0.3">
      <c r="A216">
        <v>745</v>
      </c>
      <c r="B216">
        <v>9</v>
      </c>
      <c r="C216" t="s">
        <v>7</v>
      </c>
      <c r="D216">
        <v>2</v>
      </c>
      <c r="E216">
        <v>2022</v>
      </c>
      <c r="F216">
        <v>9</v>
      </c>
      <c r="G216" t="s">
        <v>7</v>
      </c>
      <c r="H216">
        <v>5.0999999999999996</v>
      </c>
      <c r="I216">
        <f t="shared" si="3"/>
        <v>10.199999999999999</v>
      </c>
    </row>
    <row r="217" spans="1:9" x14ac:dyDescent="0.3">
      <c r="A217">
        <v>746</v>
      </c>
      <c r="B217">
        <v>1</v>
      </c>
      <c r="C217" t="s">
        <v>7</v>
      </c>
      <c r="D217">
        <v>1</v>
      </c>
      <c r="E217">
        <v>2022</v>
      </c>
      <c r="F217">
        <v>1</v>
      </c>
      <c r="G217" t="s">
        <v>7</v>
      </c>
      <c r="H217">
        <v>4.9000000000000004</v>
      </c>
      <c r="I217">
        <f t="shared" si="3"/>
        <v>4.9000000000000004</v>
      </c>
    </row>
    <row r="218" spans="1:9" x14ac:dyDescent="0.3">
      <c r="A218">
        <v>746</v>
      </c>
      <c r="B218">
        <v>4</v>
      </c>
      <c r="C218" t="s">
        <v>7</v>
      </c>
      <c r="D218">
        <v>1</v>
      </c>
      <c r="E218">
        <v>2022</v>
      </c>
      <c r="F218">
        <v>4</v>
      </c>
      <c r="G218" t="s">
        <v>7</v>
      </c>
      <c r="H218">
        <v>4.7</v>
      </c>
      <c r="I218">
        <f t="shared" si="3"/>
        <v>4.7</v>
      </c>
    </row>
    <row r="219" spans="1:9" x14ac:dyDescent="0.3">
      <c r="A219">
        <v>747</v>
      </c>
      <c r="B219">
        <v>2</v>
      </c>
      <c r="C219" t="s">
        <v>6</v>
      </c>
      <c r="D219">
        <v>1</v>
      </c>
      <c r="E219">
        <v>2022</v>
      </c>
      <c r="F219">
        <v>2</v>
      </c>
      <c r="G219" t="s">
        <v>6</v>
      </c>
      <c r="H219">
        <v>6.5</v>
      </c>
      <c r="I219">
        <f t="shared" si="3"/>
        <v>6.5</v>
      </c>
    </row>
    <row r="220" spans="1:9" x14ac:dyDescent="0.3">
      <c r="A220">
        <v>748</v>
      </c>
      <c r="B220">
        <v>3</v>
      </c>
      <c r="C220" t="s">
        <v>7</v>
      </c>
      <c r="D220">
        <v>1</v>
      </c>
      <c r="E220">
        <v>2022</v>
      </c>
      <c r="F220">
        <v>3</v>
      </c>
      <c r="G220" t="s">
        <v>7</v>
      </c>
      <c r="H220">
        <v>4.9000000000000004</v>
      </c>
      <c r="I220">
        <f t="shared" si="3"/>
        <v>4.9000000000000004</v>
      </c>
    </row>
    <row r="221" spans="1:9" x14ac:dyDescent="0.3">
      <c r="A221">
        <v>749</v>
      </c>
      <c r="B221">
        <v>4</v>
      </c>
      <c r="C221" t="s">
        <v>6</v>
      </c>
      <c r="D221">
        <v>2</v>
      </c>
      <c r="E221">
        <v>2022</v>
      </c>
      <c r="F221">
        <v>4</v>
      </c>
      <c r="G221" t="s">
        <v>6</v>
      </c>
      <c r="H221">
        <v>6.5</v>
      </c>
      <c r="I221">
        <f t="shared" si="3"/>
        <v>13</v>
      </c>
    </row>
    <row r="222" spans="1:9" x14ac:dyDescent="0.3">
      <c r="A222">
        <v>750</v>
      </c>
      <c r="B222">
        <v>5</v>
      </c>
      <c r="C222" t="s">
        <v>7</v>
      </c>
      <c r="D222">
        <v>1</v>
      </c>
      <c r="E222">
        <v>2022</v>
      </c>
      <c r="F222">
        <v>5</v>
      </c>
      <c r="G222" t="s">
        <v>7</v>
      </c>
      <c r="H222">
        <v>5.2</v>
      </c>
      <c r="I222">
        <f t="shared" si="3"/>
        <v>5.2</v>
      </c>
    </row>
    <row r="223" spans="1:9" x14ac:dyDescent="0.3">
      <c r="A223">
        <v>750</v>
      </c>
      <c r="B223">
        <v>12</v>
      </c>
      <c r="C223" t="s">
        <v>7</v>
      </c>
      <c r="D223">
        <v>1</v>
      </c>
      <c r="E223">
        <v>2022</v>
      </c>
      <c r="F223">
        <v>12</v>
      </c>
      <c r="G223" t="s">
        <v>7</v>
      </c>
      <c r="H223">
        <v>5.2</v>
      </c>
      <c r="I223">
        <f t="shared" si="3"/>
        <v>5.2</v>
      </c>
    </row>
    <row r="224" spans="1:9" x14ac:dyDescent="0.3">
      <c r="A224">
        <v>751</v>
      </c>
      <c r="B224">
        <v>6</v>
      </c>
      <c r="C224" t="s">
        <v>8</v>
      </c>
      <c r="D224">
        <v>2</v>
      </c>
      <c r="E224">
        <v>2022</v>
      </c>
      <c r="F224">
        <v>6</v>
      </c>
      <c r="G224" t="s">
        <v>8</v>
      </c>
      <c r="H224">
        <v>4</v>
      </c>
      <c r="I224">
        <f t="shared" si="3"/>
        <v>8</v>
      </c>
    </row>
    <row r="225" spans="1:9" x14ac:dyDescent="0.3">
      <c r="A225">
        <v>751</v>
      </c>
      <c r="B225">
        <v>9</v>
      </c>
      <c r="C225" t="s">
        <v>7</v>
      </c>
      <c r="D225">
        <v>2</v>
      </c>
      <c r="E225">
        <v>2022</v>
      </c>
      <c r="F225">
        <v>9</v>
      </c>
      <c r="G225" t="s">
        <v>7</v>
      </c>
      <c r="H225">
        <v>5.0999999999999996</v>
      </c>
      <c r="I225">
        <f t="shared" si="3"/>
        <v>10.199999999999999</v>
      </c>
    </row>
    <row r="226" spans="1:9" x14ac:dyDescent="0.3">
      <c r="A226">
        <v>752</v>
      </c>
      <c r="B226">
        <v>10</v>
      </c>
      <c r="C226" t="s">
        <v>7</v>
      </c>
      <c r="D226">
        <v>1</v>
      </c>
      <c r="E226">
        <v>2022</v>
      </c>
      <c r="F226">
        <v>10</v>
      </c>
      <c r="G226" t="s">
        <v>7</v>
      </c>
      <c r="H226">
        <v>5.2</v>
      </c>
      <c r="I226">
        <f t="shared" si="3"/>
        <v>5.2</v>
      </c>
    </row>
    <row r="227" spans="1:9" x14ac:dyDescent="0.3">
      <c r="A227">
        <v>753</v>
      </c>
      <c r="B227">
        <v>7</v>
      </c>
      <c r="C227" t="s">
        <v>7</v>
      </c>
      <c r="D227">
        <v>2</v>
      </c>
      <c r="E227">
        <v>2022</v>
      </c>
      <c r="F227">
        <v>7</v>
      </c>
      <c r="G227" t="s">
        <v>7</v>
      </c>
      <c r="H227">
        <v>5.2</v>
      </c>
      <c r="I227">
        <f t="shared" si="3"/>
        <v>10.4</v>
      </c>
    </row>
    <row r="228" spans="1:9" x14ac:dyDescent="0.3">
      <c r="A228">
        <v>754</v>
      </c>
      <c r="B228">
        <v>9</v>
      </c>
      <c r="C228" t="s">
        <v>6</v>
      </c>
      <c r="D228">
        <v>1</v>
      </c>
      <c r="E228">
        <v>2022</v>
      </c>
      <c r="F228">
        <v>9</v>
      </c>
      <c r="G228" t="s">
        <v>6</v>
      </c>
      <c r="H228">
        <v>7.6</v>
      </c>
      <c r="I228">
        <f t="shared" si="3"/>
        <v>7.6</v>
      </c>
    </row>
    <row r="229" spans="1:9" x14ac:dyDescent="0.3">
      <c r="A229">
        <v>755</v>
      </c>
      <c r="B229">
        <v>1</v>
      </c>
      <c r="C229" t="s">
        <v>6</v>
      </c>
      <c r="D229">
        <v>1</v>
      </c>
      <c r="E229">
        <v>2022</v>
      </c>
      <c r="F229">
        <v>1</v>
      </c>
      <c r="G229" t="s">
        <v>6</v>
      </c>
      <c r="H229">
        <v>6.5</v>
      </c>
      <c r="I229">
        <f t="shared" si="3"/>
        <v>6.5</v>
      </c>
    </row>
    <row r="230" spans="1:9" x14ac:dyDescent="0.3">
      <c r="A230">
        <v>755</v>
      </c>
      <c r="B230">
        <v>3</v>
      </c>
      <c r="C230" t="s">
        <v>6</v>
      </c>
      <c r="D230">
        <v>1</v>
      </c>
      <c r="E230">
        <v>2022</v>
      </c>
      <c r="F230">
        <v>3</v>
      </c>
      <c r="G230" t="s">
        <v>6</v>
      </c>
      <c r="H230">
        <v>6.5</v>
      </c>
      <c r="I230">
        <f t="shared" si="3"/>
        <v>6.5</v>
      </c>
    </row>
    <row r="231" spans="1:9" x14ac:dyDescent="0.3">
      <c r="A231">
        <v>756</v>
      </c>
      <c r="B231">
        <v>2</v>
      </c>
      <c r="C231" t="s">
        <v>7</v>
      </c>
      <c r="D231">
        <v>1</v>
      </c>
      <c r="E231">
        <v>2022</v>
      </c>
      <c r="F231">
        <v>2</v>
      </c>
      <c r="G231" t="s">
        <v>7</v>
      </c>
      <c r="H231">
        <v>4.9000000000000004</v>
      </c>
      <c r="I231">
        <f t="shared" si="3"/>
        <v>4.9000000000000004</v>
      </c>
    </row>
    <row r="232" spans="1:9" x14ac:dyDescent="0.3">
      <c r="A232">
        <v>756</v>
      </c>
      <c r="B232">
        <v>7</v>
      </c>
      <c r="C232" t="s">
        <v>7</v>
      </c>
      <c r="D232">
        <v>1</v>
      </c>
      <c r="E232">
        <v>2022</v>
      </c>
      <c r="F232">
        <v>7</v>
      </c>
      <c r="G232" t="s">
        <v>7</v>
      </c>
      <c r="H232">
        <v>5.2</v>
      </c>
      <c r="I232">
        <f t="shared" si="3"/>
        <v>5.2</v>
      </c>
    </row>
    <row r="233" spans="1:9" x14ac:dyDescent="0.3">
      <c r="A233">
        <v>757</v>
      </c>
      <c r="B233">
        <v>3</v>
      </c>
      <c r="C233" t="s">
        <v>6</v>
      </c>
      <c r="D233">
        <v>2</v>
      </c>
      <c r="E233">
        <v>2022</v>
      </c>
      <c r="F233">
        <v>3</v>
      </c>
      <c r="G233" t="s">
        <v>6</v>
      </c>
      <c r="H233">
        <v>6.5</v>
      </c>
      <c r="I233">
        <f t="shared" si="3"/>
        <v>13</v>
      </c>
    </row>
    <row r="234" spans="1:9" x14ac:dyDescent="0.3">
      <c r="A234">
        <v>758</v>
      </c>
      <c r="B234">
        <v>4</v>
      </c>
      <c r="C234" t="s">
        <v>7</v>
      </c>
      <c r="D234">
        <v>1</v>
      </c>
      <c r="E234">
        <v>2022</v>
      </c>
      <c r="F234">
        <v>4</v>
      </c>
      <c r="G234" t="s">
        <v>7</v>
      </c>
      <c r="H234">
        <v>4.7</v>
      </c>
      <c r="I234">
        <f t="shared" si="3"/>
        <v>4.7</v>
      </c>
    </row>
    <row r="235" spans="1:9" x14ac:dyDescent="0.3">
      <c r="A235">
        <v>759</v>
      </c>
      <c r="B235">
        <v>7</v>
      </c>
      <c r="C235" t="s">
        <v>6</v>
      </c>
      <c r="D235">
        <v>2</v>
      </c>
      <c r="E235">
        <v>2022</v>
      </c>
      <c r="F235">
        <v>7</v>
      </c>
      <c r="G235" t="s">
        <v>6</v>
      </c>
      <c r="H235">
        <v>7.4</v>
      </c>
      <c r="I235">
        <f t="shared" si="3"/>
        <v>14.8</v>
      </c>
    </row>
    <row r="236" spans="1:9" x14ac:dyDescent="0.3">
      <c r="A236">
        <v>759</v>
      </c>
      <c r="B236">
        <v>8</v>
      </c>
      <c r="C236" t="s">
        <v>6</v>
      </c>
      <c r="D236">
        <v>2</v>
      </c>
      <c r="E236">
        <v>2022</v>
      </c>
      <c r="F236">
        <v>8</v>
      </c>
      <c r="G236" t="s">
        <v>6</v>
      </c>
      <c r="H236">
        <v>7.6</v>
      </c>
      <c r="I236">
        <f t="shared" si="3"/>
        <v>15.2</v>
      </c>
    </row>
    <row r="237" spans="1:9" x14ac:dyDescent="0.3">
      <c r="A237">
        <v>760</v>
      </c>
      <c r="B237">
        <v>8</v>
      </c>
      <c r="C237" t="s">
        <v>7</v>
      </c>
      <c r="D237">
        <v>1</v>
      </c>
      <c r="E237">
        <v>2022</v>
      </c>
      <c r="F237">
        <v>8</v>
      </c>
      <c r="G237" t="s">
        <v>7</v>
      </c>
      <c r="H237">
        <v>5.0999999999999996</v>
      </c>
      <c r="I237">
        <f t="shared" si="3"/>
        <v>5.0999999999999996</v>
      </c>
    </row>
    <row r="238" spans="1:9" x14ac:dyDescent="0.3">
      <c r="A238">
        <v>761</v>
      </c>
      <c r="B238">
        <v>9</v>
      </c>
      <c r="C238" t="s">
        <v>7</v>
      </c>
      <c r="D238">
        <v>1</v>
      </c>
      <c r="E238">
        <v>2022</v>
      </c>
      <c r="F238">
        <v>9</v>
      </c>
      <c r="G238" t="s">
        <v>7</v>
      </c>
      <c r="H238">
        <v>5.0999999999999996</v>
      </c>
      <c r="I238">
        <f t="shared" si="3"/>
        <v>5.0999999999999996</v>
      </c>
    </row>
    <row r="239" spans="1:9" x14ac:dyDescent="0.3">
      <c r="A239">
        <v>762</v>
      </c>
      <c r="B239">
        <v>10</v>
      </c>
      <c r="C239" t="s">
        <v>7</v>
      </c>
      <c r="D239">
        <v>1</v>
      </c>
      <c r="E239">
        <v>2022</v>
      </c>
      <c r="F239">
        <v>10</v>
      </c>
      <c r="G239" t="s">
        <v>7</v>
      </c>
      <c r="H239">
        <v>5.2</v>
      </c>
      <c r="I239">
        <f t="shared" si="3"/>
        <v>5.2</v>
      </c>
    </row>
    <row r="240" spans="1:9" x14ac:dyDescent="0.3">
      <c r="A240">
        <v>763</v>
      </c>
      <c r="B240">
        <v>11</v>
      </c>
      <c r="C240" t="s">
        <v>8</v>
      </c>
      <c r="D240">
        <v>2</v>
      </c>
      <c r="E240">
        <v>2022</v>
      </c>
      <c r="F240">
        <v>11</v>
      </c>
      <c r="G240" t="s">
        <v>8</v>
      </c>
      <c r="H240">
        <v>4</v>
      </c>
      <c r="I240">
        <f t="shared" si="3"/>
        <v>8</v>
      </c>
    </row>
    <row r="241" spans="1:9" x14ac:dyDescent="0.3">
      <c r="A241">
        <v>764</v>
      </c>
      <c r="B241">
        <v>12</v>
      </c>
      <c r="C241" t="s">
        <v>7</v>
      </c>
      <c r="D241">
        <v>1</v>
      </c>
      <c r="E241">
        <v>2022</v>
      </c>
      <c r="F241">
        <v>12</v>
      </c>
      <c r="G241" t="s">
        <v>7</v>
      </c>
      <c r="H241">
        <v>5.2</v>
      </c>
      <c r="I241">
        <f t="shared" si="3"/>
        <v>5.2</v>
      </c>
    </row>
    <row r="242" spans="1:9" x14ac:dyDescent="0.3">
      <c r="A242">
        <v>765</v>
      </c>
      <c r="B242">
        <v>7</v>
      </c>
      <c r="C242" t="s">
        <v>6</v>
      </c>
      <c r="D242">
        <v>2</v>
      </c>
      <c r="E242">
        <v>2022</v>
      </c>
      <c r="F242">
        <v>7</v>
      </c>
      <c r="G242" t="s">
        <v>6</v>
      </c>
      <c r="H242">
        <v>7.4</v>
      </c>
      <c r="I242">
        <f t="shared" si="3"/>
        <v>14.8</v>
      </c>
    </row>
    <row r="243" spans="1:9" x14ac:dyDescent="0.3">
      <c r="A243">
        <v>765</v>
      </c>
      <c r="B243">
        <v>11</v>
      </c>
      <c r="C243" t="s">
        <v>8</v>
      </c>
      <c r="D243">
        <v>2</v>
      </c>
      <c r="E243">
        <v>2022</v>
      </c>
      <c r="F243">
        <v>11</v>
      </c>
      <c r="G243" t="s">
        <v>8</v>
      </c>
      <c r="H243">
        <v>4</v>
      </c>
      <c r="I243">
        <f t="shared" si="3"/>
        <v>8</v>
      </c>
    </row>
    <row r="244" spans="1:9" x14ac:dyDescent="0.3">
      <c r="A244">
        <v>766</v>
      </c>
      <c r="B244">
        <v>12</v>
      </c>
      <c r="C244" t="s">
        <v>7</v>
      </c>
      <c r="D244">
        <v>1</v>
      </c>
      <c r="E244">
        <v>2022</v>
      </c>
      <c r="F244">
        <v>12</v>
      </c>
      <c r="G244" t="s">
        <v>7</v>
      </c>
      <c r="H244">
        <v>5.2</v>
      </c>
      <c r="I244">
        <f t="shared" si="3"/>
        <v>5.2</v>
      </c>
    </row>
    <row r="245" spans="1:9" x14ac:dyDescent="0.3">
      <c r="A245">
        <v>767</v>
      </c>
      <c r="B245">
        <v>2</v>
      </c>
      <c r="C245" t="s">
        <v>6</v>
      </c>
      <c r="D245">
        <v>1</v>
      </c>
      <c r="E245">
        <v>2022</v>
      </c>
      <c r="F245">
        <v>2</v>
      </c>
      <c r="G245" t="s">
        <v>6</v>
      </c>
      <c r="H245">
        <v>6.5</v>
      </c>
      <c r="I245">
        <f t="shared" si="3"/>
        <v>6.5</v>
      </c>
    </row>
    <row r="246" spans="1:9" x14ac:dyDescent="0.3">
      <c r="A246">
        <v>767</v>
      </c>
      <c r="B246">
        <v>6</v>
      </c>
      <c r="C246" t="s">
        <v>6</v>
      </c>
      <c r="D246">
        <v>1</v>
      </c>
      <c r="E246">
        <v>2022</v>
      </c>
      <c r="F246">
        <v>6</v>
      </c>
      <c r="G246" t="s">
        <v>6</v>
      </c>
      <c r="H246">
        <v>7.4</v>
      </c>
      <c r="I246">
        <f t="shared" si="3"/>
        <v>7.4</v>
      </c>
    </row>
    <row r="247" spans="1:9" x14ac:dyDescent="0.3">
      <c r="A247">
        <v>768</v>
      </c>
      <c r="B247">
        <v>4</v>
      </c>
      <c r="C247" t="s">
        <v>7</v>
      </c>
      <c r="D247">
        <v>1</v>
      </c>
      <c r="E247">
        <v>2022</v>
      </c>
      <c r="F247">
        <v>4</v>
      </c>
      <c r="G247" t="s">
        <v>7</v>
      </c>
      <c r="H247">
        <v>4.7</v>
      </c>
      <c r="I247">
        <f t="shared" si="3"/>
        <v>4.7</v>
      </c>
    </row>
    <row r="248" spans="1:9" x14ac:dyDescent="0.3">
      <c r="A248">
        <v>769</v>
      </c>
      <c r="B248">
        <v>12</v>
      </c>
      <c r="C248" t="s">
        <v>7</v>
      </c>
      <c r="D248">
        <v>1</v>
      </c>
      <c r="E248">
        <v>2022</v>
      </c>
      <c r="F248">
        <v>12</v>
      </c>
      <c r="G248" t="s">
        <v>7</v>
      </c>
      <c r="H248">
        <v>5.2</v>
      </c>
      <c r="I248">
        <f t="shared" si="3"/>
        <v>5.2</v>
      </c>
    </row>
    <row r="249" spans="1:9" x14ac:dyDescent="0.3">
      <c r="A249">
        <v>770</v>
      </c>
      <c r="B249">
        <v>1</v>
      </c>
      <c r="C249" t="s">
        <v>6</v>
      </c>
      <c r="D249">
        <v>1</v>
      </c>
      <c r="E249">
        <v>2022</v>
      </c>
      <c r="F249">
        <v>1</v>
      </c>
      <c r="G249" t="s">
        <v>6</v>
      </c>
      <c r="H249">
        <v>6.5</v>
      </c>
      <c r="I249">
        <f t="shared" si="3"/>
        <v>6.5</v>
      </c>
    </row>
    <row r="250" spans="1:9" x14ac:dyDescent="0.3">
      <c r="A250">
        <v>771</v>
      </c>
      <c r="B250">
        <v>8</v>
      </c>
      <c r="C250" t="s">
        <v>6</v>
      </c>
      <c r="D250">
        <v>1</v>
      </c>
      <c r="E250">
        <v>2022</v>
      </c>
      <c r="F250">
        <v>8</v>
      </c>
      <c r="G250" t="s">
        <v>6</v>
      </c>
      <c r="H250">
        <v>7.6</v>
      </c>
      <c r="I250">
        <f t="shared" si="3"/>
        <v>7.6</v>
      </c>
    </row>
    <row r="251" spans="1:9" x14ac:dyDescent="0.3">
      <c r="A251">
        <v>771</v>
      </c>
      <c r="B251">
        <v>11</v>
      </c>
      <c r="C251" t="s">
        <v>6</v>
      </c>
      <c r="D251">
        <v>1</v>
      </c>
      <c r="E251">
        <v>2022</v>
      </c>
      <c r="F251">
        <v>11</v>
      </c>
      <c r="G251" t="s">
        <v>6</v>
      </c>
      <c r="H251">
        <v>7.4</v>
      </c>
      <c r="I251">
        <f t="shared" si="3"/>
        <v>7.4</v>
      </c>
    </row>
    <row r="252" spans="1:9" x14ac:dyDescent="0.3">
      <c r="A252">
        <v>772</v>
      </c>
      <c r="B252">
        <v>5</v>
      </c>
      <c r="C252" t="s">
        <v>6</v>
      </c>
      <c r="D252">
        <v>1</v>
      </c>
      <c r="E252">
        <v>2022</v>
      </c>
      <c r="F252">
        <v>5</v>
      </c>
      <c r="G252" t="s">
        <v>6</v>
      </c>
      <c r="H252">
        <v>7.4</v>
      </c>
      <c r="I252">
        <f t="shared" si="3"/>
        <v>7.4</v>
      </c>
    </row>
    <row r="253" spans="1:9" x14ac:dyDescent="0.3">
      <c r="A253">
        <v>772</v>
      </c>
      <c r="B253">
        <v>7</v>
      </c>
      <c r="C253" t="s">
        <v>6</v>
      </c>
      <c r="D253">
        <v>1</v>
      </c>
      <c r="E253">
        <v>2022</v>
      </c>
      <c r="F253">
        <v>7</v>
      </c>
      <c r="G253" t="s">
        <v>6</v>
      </c>
      <c r="H253">
        <v>7.4</v>
      </c>
      <c r="I253">
        <f t="shared" si="3"/>
        <v>7.4</v>
      </c>
    </row>
    <row r="254" spans="1:9" x14ac:dyDescent="0.3">
      <c r="A254">
        <v>773</v>
      </c>
      <c r="B254">
        <v>4</v>
      </c>
      <c r="C254" t="s">
        <v>7</v>
      </c>
      <c r="D254">
        <v>2</v>
      </c>
      <c r="E254">
        <v>2022</v>
      </c>
      <c r="F254">
        <v>4</v>
      </c>
      <c r="G254" t="s">
        <v>7</v>
      </c>
      <c r="H254">
        <v>4.7</v>
      </c>
      <c r="I254">
        <f t="shared" si="3"/>
        <v>9.4</v>
      </c>
    </row>
    <row r="255" spans="1:9" x14ac:dyDescent="0.3">
      <c r="A255">
        <v>774</v>
      </c>
      <c r="B255">
        <v>10</v>
      </c>
      <c r="C255" t="s">
        <v>7</v>
      </c>
      <c r="D255">
        <v>1</v>
      </c>
      <c r="E255">
        <v>2022</v>
      </c>
      <c r="F255">
        <v>10</v>
      </c>
      <c r="G255" t="s">
        <v>7</v>
      </c>
      <c r="H255">
        <v>5.2</v>
      </c>
      <c r="I255">
        <f t="shared" si="3"/>
        <v>5.2</v>
      </c>
    </row>
    <row r="256" spans="1:9" x14ac:dyDescent="0.3">
      <c r="A256">
        <v>775</v>
      </c>
      <c r="B256">
        <v>3</v>
      </c>
      <c r="C256" t="s">
        <v>7</v>
      </c>
      <c r="D256">
        <v>2</v>
      </c>
      <c r="E256">
        <v>2022</v>
      </c>
      <c r="F256">
        <v>3</v>
      </c>
      <c r="G256" t="s">
        <v>7</v>
      </c>
      <c r="H256">
        <v>4.9000000000000004</v>
      </c>
      <c r="I256">
        <f t="shared" si="3"/>
        <v>9.8000000000000007</v>
      </c>
    </row>
    <row r="257" spans="1:9" x14ac:dyDescent="0.3">
      <c r="A257">
        <v>776</v>
      </c>
      <c r="B257">
        <v>9</v>
      </c>
      <c r="C257" t="s">
        <v>7</v>
      </c>
      <c r="D257">
        <v>1</v>
      </c>
      <c r="E257">
        <v>2022</v>
      </c>
      <c r="F257">
        <v>9</v>
      </c>
      <c r="G257" t="s">
        <v>7</v>
      </c>
      <c r="H257">
        <v>5.0999999999999996</v>
      </c>
      <c r="I257">
        <f t="shared" si="3"/>
        <v>5.0999999999999996</v>
      </c>
    </row>
    <row r="258" spans="1:9" x14ac:dyDescent="0.3">
      <c r="A258">
        <v>777</v>
      </c>
      <c r="B258">
        <v>10</v>
      </c>
      <c r="C258" t="s">
        <v>7</v>
      </c>
      <c r="D258">
        <v>1</v>
      </c>
      <c r="E258">
        <v>2022</v>
      </c>
      <c r="F258">
        <v>10</v>
      </c>
      <c r="G258" t="s">
        <v>7</v>
      </c>
      <c r="H258">
        <v>5.2</v>
      </c>
      <c r="I258">
        <f t="shared" si="3"/>
        <v>5.2</v>
      </c>
    </row>
    <row r="259" spans="1:9" x14ac:dyDescent="0.3">
      <c r="A259">
        <v>777</v>
      </c>
      <c r="B259">
        <v>12</v>
      </c>
      <c r="C259" t="s">
        <v>7</v>
      </c>
      <c r="D259">
        <v>1</v>
      </c>
      <c r="E259">
        <v>2022</v>
      </c>
      <c r="F259">
        <v>12</v>
      </c>
      <c r="G259" t="s">
        <v>7</v>
      </c>
      <c r="H259">
        <v>5.2</v>
      </c>
      <c r="I259">
        <f t="shared" ref="I259:I322" si="4">D259*H259</f>
        <v>5.2</v>
      </c>
    </row>
    <row r="260" spans="1:9" x14ac:dyDescent="0.3">
      <c r="A260">
        <v>778</v>
      </c>
      <c r="B260">
        <v>11</v>
      </c>
      <c r="C260" t="s">
        <v>8</v>
      </c>
      <c r="D260">
        <v>2</v>
      </c>
      <c r="E260">
        <v>2022</v>
      </c>
      <c r="F260">
        <v>11</v>
      </c>
      <c r="G260" t="s">
        <v>8</v>
      </c>
      <c r="H260">
        <v>4</v>
      </c>
      <c r="I260">
        <f t="shared" si="4"/>
        <v>8</v>
      </c>
    </row>
    <row r="261" spans="1:9" x14ac:dyDescent="0.3">
      <c r="A261">
        <v>779</v>
      </c>
      <c r="B261">
        <v>12</v>
      </c>
      <c r="C261" t="s">
        <v>7</v>
      </c>
      <c r="D261">
        <v>1</v>
      </c>
      <c r="E261">
        <v>2022</v>
      </c>
      <c r="F261">
        <v>12</v>
      </c>
      <c r="G261" t="s">
        <v>7</v>
      </c>
      <c r="H261">
        <v>5.2</v>
      </c>
      <c r="I261">
        <f t="shared" si="4"/>
        <v>5.2</v>
      </c>
    </row>
    <row r="262" spans="1:9" x14ac:dyDescent="0.3">
      <c r="A262">
        <v>780</v>
      </c>
      <c r="B262">
        <v>8</v>
      </c>
      <c r="C262" t="s">
        <v>6</v>
      </c>
      <c r="D262">
        <v>2</v>
      </c>
      <c r="E262">
        <v>2022</v>
      </c>
      <c r="F262">
        <v>8</v>
      </c>
      <c r="G262" t="s">
        <v>6</v>
      </c>
      <c r="H262">
        <v>7.6</v>
      </c>
      <c r="I262">
        <f t="shared" si="4"/>
        <v>15.2</v>
      </c>
    </row>
    <row r="263" spans="1:9" x14ac:dyDescent="0.3">
      <c r="A263">
        <v>780</v>
      </c>
      <c r="B263">
        <v>11</v>
      </c>
      <c r="C263" t="s">
        <v>8</v>
      </c>
      <c r="D263">
        <v>2</v>
      </c>
      <c r="E263">
        <v>2022</v>
      </c>
      <c r="F263">
        <v>11</v>
      </c>
      <c r="G263" t="s">
        <v>8</v>
      </c>
      <c r="H263">
        <v>4</v>
      </c>
      <c r="I263">
        <f t="shared" si="4"/>
        <v>8</v>
      </c>
    </row>
    <row r="264" spans="1:9" x14ac:dyDescent="0.3">
      <c r="A264">
        <v>781</v>
      </c>
      <c r="B264">
        <v>2</v>
      </c>
      <c r="C264" t="s">
        <v>7</v>
      </c>
      <c r="D264">
        <v>1</v>
      </c>
      <c r="E264">
        <v>2022</v>
      </c>
      <c r="F264">
        <v>2</v>
      </c>
      <c r="G264" t="s">
        <v>7</v>
      </c>
      <c r="H264">
        <v>4.9000000000000004</v>
      </c>
      <c r="I264">
        <f t="shared" si="4"/>
        <v>4.9000000000000004</v>
      </c>
    </row>
    <row r="265" spans="1:9" x14ac:dyDescent="0.3">
      <c r="A265">
        <v>781</v>
      </c>
      <c r="B265">
        <v>7</v>
      </c>
      <c r="C265" t="s">
        <v>7</v>
      </c>
      <c r="D265">
        <v>1</v>
      </c>
      <c r="E265">
        <v>2022</v>
      </c>
      <c r="F265">
        <v>7</v>
      </c>
      <c r="G265" t="s">
        <v>7</v>
      </c>
      <c r="H265">
        <v>5.2</v>
      </c>
      <c r="I265">
        <f t="shared" si="4"/>
        <v>5.2</v>
      </c>
    </row>
    <row r="266" spans="1:9" x14ac:dyDescent="0.3">
      <c r="A266">
        <v>782</v>
      </c>
      <c r="B266">
        <v>1</v>
      </c>
      <c r="C266" t="s">
        <v>8</v>
      </c>
      <c r="D266">
        <v>2</v>
      </c>
      <c r="E266">
        <v>2023</v>
      </c>
      <c r="F266">
        <v>1</v>
      </c>
      <c r="G266" t="s">
        <v>8</v>
      </c>
      <c r="H266">
        <v>3.9</v>
      </c>
      <c r="I266">
        <f t="shared" si="4"/>
        <v>7.8</v>
      </c>
    </row>
    <row r="267" spans="1:9" x14ac:dyDescent="0.3">
      <c r="A267">
        <v>782</v>
      </c>
      <c r="B267">
        <v>12</v>
      </c>
      <c r="C267" t="s">
        <v>6</v>
      </c>
      <c r="D267">
        <v>1</v>
      </c>
      <c r="E267">
        <v>2023</v>
      </c>
      <c r="F267">
        <v>12</v>
      </c>
      <c r="G267" t="s">
        <v>6</v>
      </c>
      <c r="H267">
        <v>7.5</v>
      </c>
      <c r="I267">
        <f t="shared" si="4"/>
        <v>7.5</v>
      </c>
    </row>
    <row r="268" spans="1:9" x14ac:dyDescent="0.3">
      <c r="A268">
        <v>783</v>
      </c>
      <c r="B268">
        <v>9</v>
      </c>
      <c r="C268" t="s">
        <v>6</v>
      </c>
      <c r="D268">
        <v>1</v>
      </c>
      <c r="E268">
        <v>2023</v>
      </c>
      <c r="F268">
        <v>9</v>
      </c>
      <c r="G268" t="s">
        <v>6</v>
      </c>
      <c r="H268">
        <v>7.7</v>
      </c>
      <c r="I268">
        <f t="shared" si="4"/>
        <v>7.7</v>
      </c>
    </row>
    <row r="269" spans="1:9" x14ac:dyDescent="0.3">
      <c r="A269">
        <v>784</v>
      </c>
      <c r="B269">
        <v>10</v>
      </c>
      <c r="C269" t="s">
        <v>6</v>
      </c>
      <c r="D269">
        <v>1</v>
      </c>
      <c r="E269">
        <v>2023</v>
      </c>
      <c r="F269">
        <v>10</v>
      </c>
      <c r="G269" t="s">
        <v>6</v>
      </c>
      <c r="H269">
        <v>7.5</v>
      </c>
      <c r="I269">
        <f t="shared" si="4"/>
        <v>7.5</v>
      </c>
    </row>
    <row r="270" spans="1:9" x14ac:dyDescent="0.3">
      <c r="A270">
        <v>785</v>
      </c>
      <c r="B270">
        <v>9</v>
      </c>
      <c r="C270" t="s">
        <v>7</v>
      </c>
      <c r="D270">
        <v>3</v>
      </c>
      <c r="E270">
        <v>2023</v>
      </c>
      <c r="F270">
        <v>9</v>
      </c>
      <c r="G270" t="s">
        <v>7</v>
      </c>
      <c r="H270">
        <v>5.2</v>
      </c>
      <c r="I270">
        <f t="shared" si="4"/>
        <v>15.600000000000001</v>
      </c>
    </row>
    <row r="271" spans="1:9" x14ac:dyDescent="0.3">
      <c r="A271">
        <v>786</v>
      </c>
      <c r="B271">
        <v>2</v>
      </c>
      <c r="C271" t="s">
        <v>7</v>
      </c>
      <c r="D271">
        <v>1</v>
      </c>
      <c r="E271">
        <v>2023</v>
      </c>
      <c r="F271">
        <v>2</v>
      </c>
      <c r="G271" t="s">
        <v>7</v>
      </c>
      <c r="H271">
        <v>5.0999999999999996</v>
      </c>
      <c r="I271">
        <f t="shared" si="4"/>
        <v>5.0999999999999996</v>
      </c>
    </row>
    <row r="272" spans="1:9" x14ac:dyDescent="0.3">
      <c r="A272">
        <v>786</v>
      </c>
      <c r="B272">
        <v>4</v>
      </c>
      <c r="C272" t="s">
        <v>7</v>
      </c>
      <c r="D272">
        <v>2</v>
      </c>
      <c r="E272">
        <v>2023</v>
      </c>
      <c r="F272">
        <v>4</v>
      </c>
      <c r="G272" t="s">
        <v>7</v>
      </c>
      <c r="H272">
        <v>4.8</v>
      </c>
      <c r="I272">
        <f t="shared" si="4"/>
        <v>9.6</v>
      </c>
    </row>
    <row r="273" spans="1:9" x14ac:dyDescent="0.3">
      <c r="A273">
        <v>786</v>
      </c>
      <c r="B273">
        <v>7</v>
      </c>
      <c r="C273" t="s">
        <v>6</v>
      </c>
      <c r="D273">
        <v>1</v>
      </c>
      <c r="E273">
        <v>2023</v>
      </c>
      <c r="F273">
        <v>7</v>
      </c>
      <c r="G273" t="s">
        <v>6</v>
      </c>
      <c r="H273">
        <v>7.5</v>
      </c>
      <c r="I273">
        <f t="shared" si="4"/>
        <v>7.5</v>
      </c>
    </row>
    <row r="274" spans="1:9" x14ac:dyDescent="0.3">
      <c r="A274">
        <v>788</v>
      </c>
      <c r="B274">
        <v>9</v>
      </c>
      <c r="C274" t="s">
        <v>6</v>
      </c>
      <c r="D274">
        <v>2</v>
      </c>
      <c r="E274">
        <v>2023</v>
      </c>
      <c r="F274">
        <v>9</v>
      </c>
      <c r="G274" t="s">
        <v>6</v>
      </c>
      <c r="H274">
        <v>7.7</v>
      </c>
      <c r="I274">
        <f t="shared" si="4"/>
        <v>15.4</v>
      </c>
    </row>
    <row r="275" spans="1:9" x14ac:dyDescent="0.3">
      <c r="A275">
        <v>789</v>
      </c>
      <c r="B275">
        <v>1</v>
      </c>
      <c r="C275" t="s">
        <v>7</v>
      </c>
      <c r="D275">
        <v>1</v>
      </c>
      <c r="E275">
        <v>2023</v>
      </c>
      <c r="F275">
        <v>1</v>
      </c>
      <c r="G275" t="s">
        <v>7</v>
      </c>
      <c r="H275">
        <v>5.0999999999999996</v>
      </c>
      <c r="I275">
        <f t="shared" si="4"/>
        <v>5.0999999999999996</v>
      </c>
    </row>
    <row r="276" spans="1:9" x14ac:dyDescent="0.3">
      <c r="A276">
        <v>789</v>
      </c>
      <c r="B276">
        <v>2</v>
      </c>
      <c r="C276" t="s">
        <v>7</v>
      </c>
      <c r="D276">
        <v>1</v>
      </c>
      <c r="E276">
        <v>2023</v>
      </c>
      <c r="F276">
        <v>2</v>
      </c>
      <c r="G276" t="s">
        <v>7</v>
      </c>
      <c r="H276">
        <v>5.0999999999999996</v>
      </c>
      <c r="I276">
        <f t="shared" si="4"/>
        <v>5.0999999999999996</v>
      </c>
    </row>
    <row r="277" spans="1:9" x14ac:dyDescent="0.3">
      <c r="A277">
        <v>791</v>
      </c>
      <c r="B277">
        <v>5</v>
      </c>
      <c r="C277" t="s">
        <v>8</v>
      </c>
      <c r="D277">
        <v>3</v>
      </c>
      <c r="E277">
        <v>2023</v>
      </c>
      <c r="F277">
        <v>5</v>
      </c>
      <c r="G277" t="s">
        <v>8</v>
      </c>
      <c r="H277">
        <v>4.0999999999999996</v>
      </c>
      <c r="I277">
        <f t="shared" si="4"/>
        <v>12.299999999999999</v>
      </c>
    </row>
    <row r="278" spans="1:9" x14ac:dyDescent="0.3">
      <c r="A278">
        <v>792</v>
      </c>
      <c r="B278">
        <v>1</v>
      </c>
      <c r="C278" t="s">
        <v>6</v>
      </c>
      <c r="D278">
        <v>1</v>
      </c>
      <c r="E278">
        <v>2023</v>
      </c>
      <c r="F278">
        <v>1</v>
      </c>
      <c r="G278" t="s">
        <v>6</v>
      </c>
      <c r="H278">
        <v>6.7</v>
      </c>
      <c r="I278">
        <f t="shared" si="4"/>
        <v>6.7</v>
      </c>
    </row>
    <row r="279" spans="1:9" x14ac:dyDescent="0.3">
      <c r="A279">
        <v>792</v>
      </c>
      <c r="B279">
        <v>4</v>
      </c>
      <c r="C279" t="s">
        <v>6</v>
      </c>
      <c r="D279">
        <v>1</v>
      </c>
      <c r="E279">
        <v>2023</v>
      </c>
      <c r="F279">
        <v>4</v>
      </c>
      <c r="G279" t="s">
        <v>6</v>
      </c>
      <c r="H279">
        <v>6.7</v>
      </c>
      <c r="I279">
        <f t="shared" si="4"/>
        <v>6.7</v>
      </c>
    </row>
    <row r="280" spans="1:9" x14ac:dyDescent="0.3">
      <c r="A280">
        <v>793</v>
      </c>
      <c r="B280">
        <v>2</v>
      </c>
      <c r="C280" t="s">
        <v>7</v>
      </c>
      <c r="D280">
        <v>1</v>
      </c>
      <c r="E280">
        <v>2023</v>
      </c>
      <c r="F280">
        <v>2</v>
      </c>
      <c r="G280" t="s">
        <v>7</v>
      </c>
      <c r="H280">
        <v>5.0999999999999996</v>
      </c>
      <c r="I280">
        <f t="shared" si="4"/>
        <v>5.0999999999999996</v>
      </c>
    </row>
    <row r="281" spans="1:9" x14ac:dyDescent="0.3">
      <c r="A281">
        <v>797</v>
      </c>
      <c r="B281">
        <v>4</v>
      </c>
      <c r="C281" t="s">
        <v>7</v>
      </c>
      <c r="D281">
        <v>1</v>
      </c>
      <c r="E281">
        <v>2023</v>
      </c>
      <c r="F281">
        <v>4</v>
      </c>
      <c r="G281" t="s">
        <v>7</v>
      </c>
      <c r="H281">
        <v>4.8</v>
      </c>
      <c r="I281">
        <f t="shared" si="4"/>
        <v>4.8</v>
      </c>
    </row>
    <row r="282" spans="1:9" x14ac:dyDescent="0.3">
      <c r="A282">
        <v>798</v>
      </c>
      <c r="B282">
        <v>6</v>
      </c>
      <c r="C282" t="s">
        <v>6</v>
      </c>
      <c r="D282">
        <v>1</v>
      </c>
      <c r="E282">
        <v>2023</v>
      </c>
      <c r="F282">
        <v>6</v>
      </c>
      <c r="G282" t="s">
        <v>6</v>
      </c>
      <c r="H282">
        <v>7.5</v>
      </c>
      <c r="I282">
        <f t="shared" si="4"/>
        <v>7.5</v>
      </c>
    </row>
    <row r="283" spans="1:9" x14ac:dyDescent="0.3">
      <c r="A283">
        <v>800</v>
      </c>
      <c r="B283">
        <v>7</v>
      </c>
      <c r="C283" t="s">
        <v>7</v>
      </c>
      <c r="D283">
        <v>1</v>
      </c>
      <c r="E283">
        <v>2023</v>
      </c>
      <c r="F283">
        <v>7</v>
      </c>
      <c r="G283" t="s">
        <v>7</v>
      </c>
      <c r="H283">
        <v>5.3</v>
      </c>
      <c r="I283">
        <f t="shared" si="4"/>
        <v>5.3</v>
      </c>
    </row>
    <row r="284" spans="1:9" x14ac:dyDescent="0.3">
      <c r="A284">
        <v>800</v>
      </c>
      <c r="B284">
        <v>11</v>
      </c>
      <c r="C284" t="s">
        <v>7</v>
      </c>
      <c r="D284">
        <v>1</v>
      </c>
      <c r="E284">
        <v>2023</v>
      </c>
      <c r="F284">
        <v>11</v>
      </c>
      <c r="G284" t="s">
        <v>7</v>
      </c>
      <c r="H284">
        <v>5.3</v>
      </c>
      <c r="I284">
        <f t="shared" si="4"/>
        <v>5.3</v>
      </c>
    </row>
    <row r="285" spans="1:9" x14ac:dyDescent="0.3">
      <c r="A285">
        <v>801</v>
      </c>
      <c r="B285">
        <v>6</v>
      </c>
      <c r="C285" t="s">
        <v>8</v>
      </c>
      <c r="D285">
        <v>2</v>
      </c>
      <c r="E285">
        <v>2023</v>
      </c>
      <c r="F285">
        <v>6</v>
      </c>
      <c r="G285" t="s">
        <v>8</v>
      </c>
      <c r="H285">
        <v>4.0999999999999996</v>
      </c>
      <c r="I285">
        <f t="shared" si="4"/>
        <v>8.1999999999999993</v>
      </c>
    </row>
    <row r="286" spans="1:9" x14ac:dyDescent="0.3">
      <c r="A286">
        <v>802</v>
      </c>
      <c r="B286">
        <v>5</v>
      </c>
      <c r="C286" t="s">
        <v>9</v>
      </c>
      <c r="D286">
        <v>1</v>
      </c>
      <c r="E286">
        <v>2023</v>
      </c>
      <c r="F286">
        <v>5</v>
      </c>
      <c r="G286" t="s">
        <v>9</v>
      </c>
      <c r="H286">
        <v>8.9</v>
      </c>
      <c r="I286">
        <f t="shared" si="4"/>
        <v>8.9</v>
      </c>
    </row>
    <row r="287" spans="1:9" x14ac:dyDescent="0.3">
      <c r="A287">
        <v>802</v>
      </c>
      <c r="B287">
        <v>8</v>
      </c>
      <c r="C287" t="s">
        <v>9</v>
      </c>
      <c r="D287">
        <v>2</v>
      </c>
      <c r="E287">
        <v>2023</v>
      </c>
      <c r="F287">
        <v>8</v>
      </c>
      <c r="G287" t="s">
        <v>9</v>
      </c>
      <c r="H287">
        <v>9.6</v>
      </c>
      <c r="I287">
        <f t="shared" si="4"/>
        <v>19.2</v>
      </c>
    </row>
    <row r="288" spans="1:9" x14ac:dyDescent="0.3">
      <c r="A288">
        <v>802</v>
      </c>
      <c r="B288">
        <v>12</v>
      </c>
      <c r="C288" t="s">
        <v>6</v>
      </c>
      <c r="D288">
        <v>1</v>
      </c>
      <c r="E288">
        <v>2023</v>
      </c>
      <c r="F288">
        <v>12</v>
      </c>
      <c r="G288" t="s">
        <v>6</v>
      </c>
      <c r="H288">
        <v>7.5</v>
      </c>
      <c r="I288">
        <f t="shared" si="4"/>
        <v>7.5</v>
      </c>
    </row>
    <row r="289" spans="1:9" x14ac:dyDescent="0.3">
      <c r="A289">
        <v>803</v>
      </c>
      <c r="B289">
        <v>2</v>
      </c>
      <c r="C289" t="s">
        <v>8</v>
      </c>
      <c r="D289">
        <v>3</v>
      </c>
      <c r="E289">
        <v>2023</v>
      </c>
      <c r="F289">
        <v>2</v>
      </c>
      <c r="G289" t="s">
        <v>8</v>
      </c>
      <c r="H289">
        <v>3.9</v>
      </c>
      <c r="I289">
        <f t="shared" si="4"/>
        <v>11.7</v>
      </c>
    </row>
    <row r="290" spans="1:9" x14ac:dyDescent="0.3">
      <c r="A290">
        <v>805</v>
      </c>
      <c r="B290">
        <v>4</v>
      </c>
      <c r="C290" t="s">
        <v>7</v>
      </c>
      <c r="D290">
        <v>1</v>
      </c>
      <c r="E290">
        <v>2023</v>
      </c>
      <c r="F290">
        <v>4</v>
      </c>
      <c r="G290" t="s">
        <v>7</v>
      </c>
      <c r="H290">
        <v>4.8</v>
      </c>
      <c r="I290">
        <f t="shared" si="4"/>
        <v>4.8</v>
      </c>
    </row>
    <row r="291" spans="1:9" x14ac:dyDescent="0.3">
      <c r="A291">
        <v>806</v>
      </c>
      <c r="B291">
        <v>1</v>
      </c>
      <c r="C291" t="s">
        <v>6</v>
      </c>
      <c r="D291">
        <v>1</v>
      </c>
      <c r="E291">
        <v>2023</v>
      </c>
      <c r="F291">
        <v>1</v>
      </c>
      <c r="G291" t="s">
        <v>6</v>
      </c>
      <c r="H291">
        <v>6.7</v>
      </c>
      <c r="I291">
        <f t="shared" si="4"/>
        <v>6.7</v>
      </c>
    </row>
    <row r="292" spans="1:9" x14ac:dyDescent="0.3">
      <c r="A292">
        <v>806</v>
      </c>
      <c r="B292">
        <v>5</v>
      </c>
      <c r="C292" t="s">
        <v>6</v>
      </c>
      <c r="D292">
        <v>1</v>
      </c>
      <c r="E292">
        <v>2023</v>
      </c>
      <c r="F292">
        <v>5</v>
      </c>
      <c r="G292" t="s">
        <v>6</v>
      </c>
      <c r="H292">
        <v>7.5</v>
      </c>
      <c r="I292">
        <f t="shared" si="4"/>
        <v>7.5</v>
      </c>
    </row>
    <row r="293" spans="1:9" x14ac:dyDescent="0.3">
      <c r="A293">
        <v>806</v>
      </c>
      <c r="B293">
        <v>8</v>
      </c>
      <c r="C293" t="s">
        <v>6</v>
      </c>
      <c r="D293">
        <v>1</v>
      </c>
      <c r="E293">
        <v>2023</v>
      </c>
      <c r="F293">
        <v>8</v>
      </c>
      <c r="G293" t="s">
        <v>6</v>
      </c>
      <c r="H293">
        <v>7.7</v>
      </c>
      <c r="I293">
        <f t="shared" si="4"/>
        <v>7.7</v>
      </c>
    </row>
    <row r="294" spans="1:9" x14ac:dyDescent="0.3">
      <c r="A294">
        <v>806</v>
      </c>
      <c r="B294">
        <v>10</v>
      </c>
      <c r="C294" t="s">
        <v>6</v>
      </c>
      <c r="D294">
        <v>1</v>
      </c>
      <c r="E294">
        <v>2023</v>
      </c>
      <c r="F294">
        <v>10</v>
      </c>
      <c r="G294" t="s">
        <v>6</v>
      </c>
      <c r="H294">
        <v>7.5</v>
      </c>
      <c r="I294">
        <f t="shared" si="4"/>
        <v>7.5</v>
      </c>
    </row>
    <row r="295" spans="1:9" x14ac:dyDescent="0.3">
      <c r="A295">
        <v>807</v>
      </c>
      <c r="B295">
        <v>4</v>
      </c>
      <c r="C295" t="s">
        <v>7</v>
      </c>
      <c r="D295">
        <v>2</v>
      </c>
      <c r="E295">
        <v>2023</v>
      </c>
      <c r="F295">
        <v>4</v>
      </c>
      <c r="G295" t="s">
        <v>7</v>
      </c>
      <c r="H295">
        <v>4.8</v>
      </c>
      <c r="I295">
        <f t="shared" si="4"/>
        <v>9.6</v>
      </c>
    </row>
    <row r="296" spans="1:9" x14ac:dyDescent="0.3">
      <c r="A296">
        <v>808</v>
      </c>
      <c r="B296">
        <v>9</v>
      </c>
      <c r="C296" t="s">
        <v>6</v>
      </c>
      <c r="D296">
        <v>1</v>
      </c>
      <c r="E296">
        <v>2023</v>
      </c>
      <c r="F296">
        <v>9</v>
      </c>
      <c r="G296" t="s">
        <v>6</v>
      </c>
      <c r="H296">
        <v>7.7</v>
      </c>
      <c r="I296">
        <f t="shared" si="4"/>
        <v>7.7</v>
      </c>
    </row>
    <row r="297" spans="1:9" x14ac:dyDescent="0.3">
      <c r="A297">
        <v>809</v>
      </c>
      <c r="B297">
        <v>3</v>
      </c>
      <c r="C297" t="s">
        <v>7</v>
      </c>
      <c r="D297">
        <v>1</v>
      </c>
      <c r="E297">
        <v>2023</v>
      </c>
      <c r="F297">
        <v>3</v>
      </c>
      <c r="G297" t="s">
        <v>7</v>
      </c>
      <c r="H297">
        <v>5.0999999999999996</v>
      </c>
      <c r="I297">
        <f t="shared" si="4"/>
        <v>5.0999999999999996</v>
      </c>
    </row>
    <row r="298" spans="1:9" x14ac:dyDescent="0.3">
      <c r="A298">
        <v>809</v>
      </c>
      <c r="B298">
        <v>12</v>
      </c>
      <c r="C298" t="s">
        <v>7</v>
      </c>
      <c r="D298">
        <v>1</v>
      </c>
      <c r="E298">
        <v>2023</v>
      </c>
      <c r="F298">
        <v>12</v>
      </c>
      <c r="G298" t="s">
        <v>7</v>
      </c>
      <c r="H298">
        <v>5.3</v>
      </c>
      <c r="I298">
        <f t="shared" si="4"/>
        <v>5.3</v>
      </c>
    </row>
    <row r="299" spans="1:9" x14ac:dyDescent="0.3">
      <c r="A299">
        <v>810</v>
      </c>
      <c r="B299">
        <v>11</v>
      </c>
      <c r="C299" t="s">
        <v>8</v>
      </c>
      <c r="D299">
        <v>2</v>
      </c>
      <c r="E299">
        <v>2023</v>
      </c>
      <c r="F299">
        <v>11</v>
      </c>
      <c r="G299" t="s">
        <v>8</v>
      </c>
      <c r="H299">
        <v>4</v>
      </c>
      <c r="I299">
        <f t="shared" si="4"/>
        <v>8</v>
      </c>
    </row>
    <row r="300" spans="1:9" x14ac:dyDescent="0.3">
      <c r="A300">
        <v>811</v>
      </c>
      <c r="B300">
        <v>7</v>
      </c>
      <c r="C300" t="s">
        <v>6</v>
      </c>
      <c r="D300">
        <v>1</v>
      </c>
      <c r="E300">
        <v>2023</v>
      </c>
      <c r="F300">
        <v>7</v>
      </c>
      <c r="G300" t="s">
        <v>6</v>
      </c>
      <c r="H300">
        <v>7.5</v>
      </c>
      <c r="I300">
        <f t="shared" si="4"/>
        <v>7.5</v>
      </c>
    </row>
    <row r="301" spans="1:9" x14ac:dyDescent="0.3">
      <c r="A301">
        <v>812</v>
      </c>
      <c r="B301">
        <v>5</v>
      </c>
      <c r="C301" t="s">
        <v>7</v>
      </c>
      <c r="D301">
        <v>2</v>
      </c>
      <c r="E301">
        <v>2023</v>
      </c>
      <c r="F301">
        <v>5</v>
      </c>
      <c r="G301" t="s">
        <v>7</v>
      </c>
      <c r="H301">
        <v>5.3</v>
      </c>
      <c r="I301">
        <f t="shared" si="4"/>
        <v>10.6</v>
      </c>
    </row>
    <row r="302" spans="1:9" x14ac:dyDescent="0.3">
      <c r="A302">
        <v>813</v>
      </c>
      <c r="B302">
        <v>2</v>
      </c>
      <c r="C302" t="s">
        <v>7</v>
      </c>
      <c r="D302">
        <v>1</v>
      </c>
      <c r="E302">
        <v>2023</v>
      </c>
      <c r="F302">
        <v>2</v>
      </c>
      <c r="G302" t="s">
        <v>7</v>
      </c>
      <c r="H302">
        <v>5.0999999999999996</v>
      </c>
      <c r="I302">
        <f t="shared" si="4"/>
        <v>5.0999999999999996</v>
      </c>
    </row>
    <row r="303" spans="1:9" x14ac:dyDescent="0.3">
      <c r="A303">
        <v>813</v>
      </c>
      <c r="B303">
        <v>7</v>
      </c>
      <c r="C303" t="s">
        <v>7</v>
      </c>
      <c r="D303">
        <v>1</v>
      </c>
      <c r="E303">
        <v>2023</v>
      </c>
      <c r="F303">
        <v>7</v>
      </c>
      <c r="G303" t="s">
        <v>7</v>
      </c>
      <c r="H303">
        <v>5.3</v>
      </c>
      <c r="I303">
        <f t="shared" si="4"/>
        <v>5.3</v>
      </c>
    </row>
    <row r="304" spans="1:9" x14ac:dyDescent="0.3">
      <c r="A304">
        <v>814</v>
      </c>
      <c r="B304">
        <v>3</v>
      </c>
      <c r="C304" t="s">
        <v>6</v>
      </c>
      <c r="D304">
        <v>2</v>
      </c>
      <c r="E304">
        <v>2023</v>
      </c>
      <c r="F304">
        <v>3</v>
      </c>
      <c r="G304" t="s">
        <v>6</v>
      </c>
      <c r="H304">
        <v>6.7</v>
      </c>
      <c r="I304">
        <f t="shared" si="4"/>
        <v>13.4</v>
      </c>
    </row>
    <row r="305" spans="1:9" x14ac:dyDescent="0.3">
      <c r="A305">
        <v>814</v>
      </c>
      <c r="B305">
        <v>6</v>
      </c>
      <c r="C305" t="s">
        <v>7</v>
      </c>
      <c r="D305">
        <v>1</v>
      </c>
      <c r="E305">
        <v>2023</v>
      </c>
      <c r="F305">
        <v>6</v>
      </c>
      <c r="G305" t="s">
        <v>7</v>
      </c>
      <c r="H305">
        <v>5.3</v>
      </c>
      <c r="I305">
        <f t="shared" si="4"/>
        <v>5.3</v>
      </c>
    </row>
    <row r="306" spans="1:9" x14ac:dyDescent="0.3">
      <c r="A306">
        <v>817</v>
      </c>
      <c r="B306">
        <v>9</v>
      </c>
      <c r="C306" t="s">
        <v>6</v>
      </c>
      <c r="D306">
        <v>1</v>
      </c>
      <c r="E306">
        <v>2023</v>
      </c>
      <c r="F306">
        <v>9</v>
      </c>
      <c r="G306" t="s">
        <v>6</v>
      </c>
      <c r="H306">
        <v>7.7</v>
      </c>
      <c r="I306">
        <f t="shared" si="4"/>
        <v>7.7</v>
      </c>
    </row>
    <row r="307" spans="1:9" x14ac:dyDescent="0.3">
      <c r="A307">
        <v>818</v>
      </c>
      <c r="B307">
        <v>2</v>
      </c>
      <c r="C307" t="s">
        <v>7</v>
      </c>
      <c r="D307">
        <v>1</v>
      </c>
      <c r="E307">
        <v>2023</v>
      </c>
      <c r="F307">
        <v>2</v>
      </c>
      <c r="G307" t="s">
        <v>7</v>
      </c>
      <c r="H307">
        <v>5.0999999999999996</v>
      </c>
      <c r="I307">
        <f t="shared" si="4"/>
        <v>5.0999999999999996</v>
      </c>
    </row>
    <row r="308" spans="1:9" x14ac:dyDescent="0.3">
      <c r="A308">
        <v>818</v>
      </c>
      <c r="B308">
        <v>7</v>
      </c>
      <c r="C308" t="s">
        <v>6</v>
      </c>
      <c r="D308">
        <v>1</v>
      </c>
      <c r="E308">
        <v>2023</v>
      </c>
      <c r="F308">
        <v>7</v>
      </c>
      <c r="G308" t="s">
        <v>6</v>
      </c>
      <c r="H308">
        <v>7.5</v>
      </c>
      <c r="I308">
        <f t="shared" si="4"/>
        <v>7.5</v>
      </c>
    </row>
    <row r="309" spans="1:9" x14ac:dyDescent="0.3">
      <c r="A309">
        <v>818</v>
      </c>
      <c r="B309">
        <v>9</v>
      </c>
      <c r="C309" t="s">
        <v>7</v>
      </c>
      <c r="D309">
        <v>1</v>
      </c>
      <c r="E309">
        <v>2023</v>
      </c>
      <c r="F309">
        <v>9</v>
      </c>
      <c r="G309" t="s">
        <v>7</v>
      </c>
      <c r="H309">
        <v>5.2</v>
      </c>
      <c r="I309">
        <f t="shared" si="4"/>
        <v>5.2</v>
      </c>
    </row>
    <row r="310" spans="1:9" x14ac:dyDescent="0.3">
      <c r="A310">
        <v>819</v>
      </c>
      <c r="B310">
        <v>10</v>
      </c>
      <c r="C310" t="s">
        <v>6</v>
      </c>
      <c r="D310">
        <v>2</v>
      </c>
      <c r="E310">
        <v>2023</v>
      </c>
      <c r="F310">
        <v>10</v>
      </c>
      <c r="G310" t="s">
        <v>6</v>
      </c>
      <c r="H310">
        <v>7.5</v>
      </c>
      <c r="I310">
        <f t="shared" si="4"/>
        <v>15</v>
      </c>
    </row>
    <row r="311" spans="1:9" x14ac:dyDescent="0.3">
      <c r="A311">
        <v>820</v>
      </c>
      <c r="B311">
        <v>4</v>
      </c>
      <c r="C311" t="s">
        <v>7</v>
      </c>
      <c r="D311">
        <v>1</v>
      </c>
      <c r="E311">
        <v>2023</v>
      </c>
      <c r="F311">
        <v>4</v>
      </c>
      <c r="G311" t="s">
        <v>7</v>
      </c>
      <c r="H311">
        <v>4.8</v>
      </c>
      <c r="I311">
        <f t="shared" si="4"/>
        <v>4.8</v>
      </c>
    </row>
    <row r="312" spans="1:9" x14ac:dyDescent="0.3">
      <c r="A312">
        <v>821</v>
      </c>
      <c r="B312">
        <v>8</v>
      </c>
      <c r="C312" t="s">
        <v>6</v>
      </c>
      <c r="D312">
        <v>1</v>
      </c>
      <c r="E312">
        <v>2023</v>
      </c>
      <c r="F312">
        <v>8</v>
      </c>
      <c r="G312" t="s">
        <v>6</v>
      </c>
      <c r="H312">
        <v>7.7</v>
      </c>
      <c r="I312">
        <f t="shared" si="4"/>
        <v>7.7</v>
      </c>
    </row>
    <row r="313" spans="1:9" x14ac:dyDescent="0.3">
      <c r="A313">
        <v>822</v>
      </c>
      <c r="B313">
        <v>9</v>
      </c>
      <c r="C313" t="s">
        <v>6</v>
      </c>
      <c r="D313">
        <v>1</v>
      </c>
      <c r="E313">
        <v>2023</v>
      </c>
      <c r="F313">
        <v>9</v>
      </c>
      <c r="G313" t="s">
        <v>6</v>
      </c>
      <c r="H313">
        <v>7.7</v>
      </c>
      <c r="I313">
        <f t="shared" si="4"/>
        <v>7.7</v>
      </c>
    </row>
    <row r="314" spans="1:9" x14ac:dyDescent="0.3">
      <c r="A314">
        <v>822</v>
      </c>
      <c r="B314">
        <v>10</v>
      </c>
      <c r="C314" t="s">
        <v>6</v>
      </c>
      <c r="D314">
        <v>1</v>
      </c>
      <c r="E314">
        <v>2023</v>
      </c>
      <c r="F314">
        <v>10</v>
      </c>
      <c r="G314" t="s">
        <v>6</v>
      </c>
      <c r="H314">
        <v>7.5</v>
      </c>
      <c r="I314">
        <f t="shared" si="4"/>
        <v>7.5</v>
      </c>
    </row>
    <row r="315" spans="1:9" x14ac:dyDescent="0.3">
      <c r="A315">
        <v>823</v>
      </c>
      <c r="B315">
        <v>1</v>
      </c>
      <c r="C315" t="s">
        <v>8</v>
      </c>
      <c r="D315">
        <v>2</v>
      </c>
      <c r="E315">
        <v>2023</v>
      </c>
      <c r="F315">
        <v>1</v>
      </c>
      <c r="G315" t="s">
        <v>8</v>
      </c>
      <c r="H315">
        <v>3.9</v>
      </c>
      <c r="I315">
        <f t="shared" si="4"/>
        <v>7.8</v>
      </c>
    </row>
    <row r="316" spans="1:9" x14ac:dyDescent="0.3">
      <c r="A316">
        <v>823</v>
      </c>
      <c r="B316">
        <v>2</v>
      </c>
      <c r="C316" t="s">
        <v>6</v>
      </c>
      <c r="D316">
        <v>2</v>
      </c>
      <c r="E316">
        <v>2023</v>
      </c>
      <c r="F316">
        <v>2</v>
      </c>
      <c r="G316" t="s">
        <v>6</v>
      </c>
      <c r="H316">
        <v>6.7</v>
      </c>
      <c r="I316">
        <f t="shared" si="4"/>
        <v>13.4</v>
      </c>
    </row>
    <row r="317" spans="1:9" x14ac:dyDescent="0.3">
      <c r="A317">
        <v>823</v>
      </c>
      <c r="B317">
        <v>10</v>
      </c>
      <c r="C317" t="s">
        <v>7</v>
      </c>
      <c r="D317">
        <v>2</v>
      </c>
      <c r="E317">
        <v>2023</v>
      </c>
      <c r="F317">
        <v>10</v>
      </c>
      <c r="G317" t="s">
        <v>7</v>
      </c>
      <c r="H317">
        <v>5.3</v>
      </c>
      <c r="I317">
        <f t="shared" si="4"/>
        <v>10.6</v>
      </c>
    </row>
    <row r="318" spans="1:9" x14ac:dyDescent="0.3">
      <c r="A318">
        <v>824</v>
      </c>
      <c r="B318">
        <v>5</v>
      </c>
      <c r="C318" t="s">
        <v>7</v>
      </c>
      <c r="D318">
        <v>1</v>
      </c>
      <c r="E318">
        <v>2023</v>
      </c>
      <c r="F318">
        <v>5</v>
      </c>
      <c r="G318" t="s">
        <v>7</v>
      </c>
      <c r="H318">
        <v>5.3</v>
      </c>
      <c r="I318">
        <f t="shared" si="4"/>
        <v>5.3</v>
      </c>
    </row>
    <row r="319" spans="1:9" x14ac:dyDescent="0.3">
      <c r="A319">
        <v>826</v>
      </c>
      <c r="B319">
        <v>2</v>
      </c>
      <c r="C319" t="s">
        <v>7</v>
      </c>
      <c r="D319">
        <v>1</v>
      </c>
      <c r="E319">
        <v>2023</v>
      </c>
      <c r="F319">
        <v>2</v>
      </c>
      <c r="G319" t="s">
        <v>7</v>
      </c>
      <c r="H319">
        <v>5.0999999999999996</v>
      </c>
      <c r="I319">
        <f t="shared" si="4"/>
        <v>5.0999999999999996</v>
      </c>
    </row>
    <row r="320" spans="1:9" x14ac:dyDescent="0.3">
      <c r="A320">
        <v>826</v>
      </c>
      <c r="B320">
        <v>6</v>
      </c>
      <c r="C320" t="s">
        <v>6</v>
      </c>
      <c r="D320">
        <v>1</v>
      </c>
      <c r="E320">
        <v>2023</v>
      </c>
      <c r="F320">
        <v>6</v>
      </c>
      <c r="G320" t="s">
        <v>6</v>
      </c>
      <c r="H320">
        <v>7.5</v>
      </c>
      <c r="I320">
        <f t="shared" si="4"/>
        <v>7.5</v>
      </c>
    </row>
    <row r="321" spans="1:9" x14ac:dyDescent="0.3">
      <c r="A321">
        <v>827</v>
      </c>
      <c r="B321">
        <v>9</v>
      </c>
      <c r="C321" t="s">
        <v>6</v>
      </c>
      <c r="D321">
        <v>1</v>
      </c>
      <c r="E321">
        <v>2023</v>
      </c>
      <c r="F321">
        <v>9</v>
      </c>
      <c r="G321" t="s">
        <v>6</v>
      </c>
      <c r="H321">
        <v>7.7</v>
      </c>
      <c r="I321">
        <f t="shared" si="4"/>
        <v>7.7</v>
      </c>
    </row>
    <row r="322" spans="1:9" x14ac:dyDescent="0.3">
      <c r="A322">
        <v>828</v>
      </c>
      <c r="B322">
        <v>5</v>
      </c>
      <c r="C322" t="s">
        <v>7</v>
      </c>
      <c r="D322">
        <v>2</v>
      </c>
      <c r="E322">
        <v>2023</v>
      </c>
      <c r="F322">
        <v>5</v>
      </c>
      <c r="G322" t="s">
        <v>7</v>
      </c>
      <c r="H322">
        <v>5.3</v>
      </c>
      <c r="I322">
        <f t="shared" si="4"/>
        <v>10.6</v>
      </c>
    </row>
    <row r="323" spans="1:9" x14ac:dyDescent="0.3">
      <c r="A323">
        <v>828</v>
      </c>
      <c r="B323">
        <v>6</v>
      </c>
      <c r="C323" t="s">
        <v>7</v>
      </c>
      <c r="D323">
        <v>1</v>
      </c>
      <c r="E323">
        <v>2023</v>
      </c>
      <c r="F323">
        <v>6</v>
      </c>
      <c r="G323" t="s">
        <v>7</v>
      </c>
      <c r="H323">
        <v>5.3</v>
      </c>
      <c r="I323">
        <f t="shared" ref="I323:I386" si="5">D323*H323</f>
        <v>5.3</v>
      </c>
    </row>
    <row r="324" spans="1:9" x14ac:dyDescent="0.3">
      <c r="A324">
        <v>829</v>
      </c>
      <c r="B324">
        <v>4</v>
      </c>
      <c r="C324" t="s">
        <v>7</v>
      </c>
      <c r="D324">
        <v>2</v>
      </c>
      <c r="E324">
        <v>2023</v>
      </c>
      <c r="F324">
        <v>4</v>
      </c>
      <c r="G324" t="s">
        <v>7</v>
      </c>
      <c r="H324">
        <v>4.8</v>
      </c>
      <c r="I324">
        <f t="shared" si="5"/>
        <v>9.6</v>
      </c>
    </row>
    <row r="325" spans="1:9" x14ac:dyDescent="0.3">
      <c r="A325">
        <v>830</v>
      </c>
      <c r="B325">
        <v>6</v>
      </c>
      <c r="C325" t="s">
        <v>6</v>
      </c>
      <c r="D325">
        <v>1</v>
      </c>
      <c r="E325">
        <v>2023</v>
      </c>
      <c r="F325">
        <v>6</v>
      </c>
      <c r="G325" t="s">
        <v>6</v>
      </c>
      <c r="H325">
        <v>7.5</v>
      </c>
      <c r="I325">
        <f t="shared" si="5"/>
        <v>7.5</v>
      </c>
    </row>
    <row r="326" spans="1:9" x14ac:dyDescent="0.3">
      <c r="A326">
        <v>831</v>
      </c>
      <c r="B326">
        <v>7</v>
      </c>
      <c r="C326" t="s">
        <v>7</v>
      </c>
      <c r="D326">
        <v>1</v>
      </c>
      <c r="E326">
        <v>2023</v>
      </c>
      <c r="F326">
        <v>7</v>
      </c>
      <c r="G326" t="s">
        <v>7</v>
      </c>
      <c r="H326">
        <v>5.3</v>
      </c>
      <c r="I326">
        <f t="shared" si="5"/>
        <v>5.3</v>
      </c>
    </row>
    <row r="327" spans="1:9" x14ac:dyDescent="0.3">
      <c r="A327">
        <v>832</v>
      </c>
      <c r="B327">
        <v>7</v>
      </c>
      <c r="C327" t="s">
        <v>7</v>
      </c>
      <c r="D327">
        <v>2</v>
      </c>
      <c r="E327">
        <v>2023</v>
      </c>
      <c r="F327">
        <v>7</v>
      </c>
      <c r="G327" t="s">
        <v>7</v>
      </c>
      <c r="H327">
        <v>5.3</v>
      </c>
      <c r="I327">
        <f t="shared" si="5"/>
        <v>10.6</v>
      </c>
    </row>
    <row r="328" spans="1:9" x14ac:dyDescent="0.3">
      <c r="A328">
        <v>833</v>
      </c>
      <c r="B328">
        <v>11</v>
      </c>
      <c r="C328" t="s">
        <v>7</v>
      </c>
      <c r="D328">
        <v>1</v>
      </c>
      <c r="E328">
        <v>2023</v>
      </c>
      <c r="F328">
        <v>11</v>
      </c>
      <c r="G328" t="s">
        <v>7</v>
      </c>
      <c r="H328">
        <v>5.3</v>
      </c>
      <c r="I328">
        <f t="shared" si="5"/>
        <v>5.3</v>
      </c>
    </row>
    <row r="329" spans="1:9" x14ac:dyDescent="0.3">
      <c r="A329">
        <v>834</v>
      </c>
      <c r="B329">
        <v>6</v>
      </c>
      <c r="C329" t="s">
        <v>7</v>
      </c>
      <c r="D329">
        <v>1</v>
      </c>
      <c r="E329">
        <v>2023</v>
      </c>
      <c r="F329">
        <v>6</v>
      </c>
      <c r="G329" t="s">
        <v>7</v>
      </c>
      <c r="H329">
        <v>5.3</v>
      </c>
      <c r="I329">
        <f t="shared" si="5"/>
        <v>5.3</v>
      </c>
    </row>
    <row r="330" spans="1:9" x14ac:dyDescent="0.3">
      <c r="A330">
        <v>835</v>
      </c>
      <c r="B330">
        <v>5</v>
      </c>
      <c r="C330" t="s">
        <v>6</v>
      </c>
      <c r="D330">
        <v>1</v>
      </c>
      <c r="E330">
        <v>2023</v>
      </c>
      <c r="F330">
        <v>5</v>
      </c>
      <c r="G330" t="s">
        <v>6</v>
      </c>
      <c r="H330">
        <v>7.5</v>
      </c>
      <c r="I330">
        <f t="shared" si="5"/>
        <v>7.5</v>
      </c>
    </row>
    <row r="331" spans="1:9" x14ac:dyDescent="0.3">
      <c r="A331">
        <v>835</v>
      </c>
      <c r="B331">
        <v>8</v>
      </c>
      <c r="C331" t="s">
        <v>6</v>
      </c>
      <c r="D331">
        <v>1</v>
      </c>
      <c r="E331">
        <v>2023</v>
      </c>
      <c r="F331">
        <v>8</v>
      </c>
      <c r="G331" t="s">
        <v>6</v>
      </c>
      <c r="H331">
        <v>7.7</v>
      </c>
      <c r="I331">
        <f t="shared" si="5"/>
        <v>7.7</v>
      </c>
    </row>
    <row r="332" spans="1:9" x14ac:dyDescent="0.3">
      <c r="A332">
        <v>835</v>
      </c>
      <c r="B332">
        <v>12</v>
      </c>
      <c r="C332" t="s">
        <v>6</v>
      </c>
      <c r="D332">
        <v>2</v>
      </c>
      <c r="E332">
        <v>2023</v>
      </c>
      <c r="F332">
        <v>12</v>
      </c>
      <c r="G332" t="s">
        <v>6</v>
      </c>
      <c r="H332">
        <v>7.5</v>
      </c>
      <c r="I332">
        <f t="shared" si="5"/>
        <v>15</v>
      </c>
    </row>
    <row r="333" spans="1:9" x14ac:dyDescent="0.3">
      <c r="A333">
        <v>836</v>
      </c>
      <c r="B333">
        <v>2</v>
      </c>
      <c r="C333" t="s">
        <v>6</v>
      </c>
      <c r="D333">
        <v>1</v>
      </c>
      <c r="E333">
        <v>2023</v>
      </c>
      <c r="F333">
        <v>2</v>
      </c>
      <c r="G333" t="s">
        <v>6</v>
      </c>
      <c r="H333">
        <v>6.7</v>
      </c>
      <c r="I333">
        <f t="shared" si="5"/>
        <v>6.7</v>
      </c>
    </row>
    <row r="334" spans="1:9" x14ac:dyDescent="0.3">
      <c r="A334">
        <v>836</v>
      </c>
      <c r="B334">
        <v>4</v>
      </c>
      <c r="C334" t="s">
        <v>7</v>
      </c>
      <c r="D334">
        <v>1</v>
      </c>
      <c r="E334">
        <v>2023</v>
      </c>
      <c r="F334">
        <v>4</v>
      </c>
      <c r="G334" t="s">
        <v>7</v>
      </c>
      <c r="H334">
        <v>4.8</v>
      </c>
      <c r="I334">
        <f t="shared" si="5"/>
        <v>4.8</v>
      </c>
    </row>
    <row r="335" spans="1:9" x14ac:dyDescent="0.3">
      <c r="A335">
        <v>836</v>
      </c>
      <c r="B335">
        <v>12</v>
      </c>
      <c r="C335" t="s">
        <v>7</v>
      </c>
      <c r="D335">
        <v>1</v>
      </c>
      <c r="E335">
        <v>2023</v>
      </c>
      <c r="F335">
        <v>12</v>
      </c>
      <c r="G335" t="s">
        <v>7</v>
      </c>
      <c r="H335">
        <v>5.3</v>
      </c>
      <c r="I335">
        <f t="shared" si="5"/>
        <v>5.3</v>
      </c>
    </row>
    <row r="336" spans="1:9" x14ac:dyDescent="0.3">
      <c r="A336">
        <v>837</v>
      </c>
      <c r="B336">
        <v>1</v>
      </c>
      <c r="C336" t="s">
        <v>6</v>
      </c>
      <c r="D336">
        <v>1</v>
      </c>
      <c r="E336">
        <v>2023</v>
      </c>
      <c r="F336">
        <v>1</v>
      </c>
      <c r="G336" t="s">
        <v>6</v>
      </c>
      <c r="H336">
        <v>6.7</v>
      </c>
      <c r="I336">
        <f t="shared" si="5"/>
        <v>6.7</v>
      </c>
    </row>
    <row r="337" spans="1:9" x14ac:dyDescent="0.3">
      <c r="A337">
        <v>838</v>
      </c>
      <c r="B337">
        <v>5</v>
      </c>
      <c r="C337" t="s">
        <v>6</v>
      </c>
      <c r="D337">
        <v>1</v>
      </c>
      <c r="E337">
        <v>2023</v>
      </c>
      <c r="F337">
        <v>5</v>
      </c>
      <c r="G337" t="s">
        <v>6</v>
      </c>
      <c r="H337">
        <v>7.5</v>
      </c>
      <c r="I337">
        <f t="shared" si="5"/>
        <v>7.5</v>
      </c>
    </row>
    <row r="338" spans="1:9" x14ac:dyDescent="0.3">
      <c r="A338">
        <v>838</v>
      </c>
      <c r="B338">
        <v>8</v>
      </c>
      <c r="C338" t="s">
        <v>6</v>
      </c>
      <c r="D338">
        <v>1</v>
      </c>
      <c r="E338">
        <v>2023</v>
      </c>
      <c r="F338">
        <v>8</v>
      </c>
      <c r="G338" t="s">
        <v>6</v>
      </c>
      <c r="H338">
        <v>7.7</v>
      </c>
      <c r="I338">
        <f t="shared" si="5"/>
        <v>7.7</v>
      </c>
    </row>
    <row r="339" spans="1:9" x14ac:dyDescent="0.3">
      <c r="A339">
        <v>839</v>
      </c>
      <c r="B339">
        <v>4</v>
      </c>
      <c r="C339" t="s">
        <v>7</v>
      </c>
      <c r="D339">
        <v>2</v>
      </c>
      <c r="E339">
        <v>2023</v>
      </c>
      <c r="F339">
        <v>4</v>
      </c>
      <c r="G339" t="s">
        <v>7</v>
      </c>
      <c r="H339">
        <v>4.8</v>
      </c>
      <c r="I339">
        <f t="shared" si="5"/>
        <v>9.6</v>
      </c>
    </row>
    <row r="340" spans="1:9" x14ac:dyDescent="0.3">
      <c r="A340">
        <v>839</v>
      </c>
      <c r="B340">
        <v>10</v>
      </c>
      <c r="C340" t="s">
        <v>6</v>
      </c>
      <c r="D340">
        <v>1</v>
      </c>
      <c r="E340">
        <v>2023</v>
      </c>
      <c r="F340">
        <v>10</v>
      </c>
      <c r="G340" t="s">
        <v>6</v>
      </c>
      <c r="H340">
        <v>7.5</v>
      </c>
      <c r="I340">
        <f t="shared" si="5"/>
        <v>7.5</v>
      </c>
    </row>
    <row r="341" spans="1:9" x14ac:dyDescent="0.3">
      <c r="A341">
        <v>840</v>
      </c>
      <c r="B341">
        <v>3</v>
      </c>
      <c r="C341" t="s">
        <v>7</v>
      </c>
      <c r="D341">
        <v>2</v>
      </c>
      <c r="E341">
        <v>2023</v>
      </c>
      <c r="F341">
        <v>3</v>
      </c>
      <c r="G341" t="s">
        <v>7</v>
      </c>
      <c r="H341">
        <v>5.0999999999999996</v>
      </c>
      <c r="I341">
        <f t="shared" si="5"/>
        <v>10.199999999999999</v>
      </c>
    </row>
    <row r="342" spans="1:9" x14ac:dyDescent="0.3">
      <c r="A342">
        <v>840</v>
      </c>
      <c r="B342">
        <v>9</v>
      </c>
      <c r="C342" t="s">
        <v>6</v>
      </c>
      <c r="D342">
        <v>1</v>
      </c>
      <c r="E342">
        <v>2023</v>
      </c>
      <c r="F342">
        <v>9</v>
      </c>
      <c r="G342" t="s">
        <v>6</v>
      </c>
      <c r="H342">
        <v>7.7</v>
      </c>
      <c r="I342">
        <f t="shared" si="5"/>
        <v>7.7</v>
      </c>
    </row>
    <row r="343" spans="1:9" x14ac:dyDescent="0.3">
      <c r="A343">
        <v>841</v>
      </c>
      <c r="B343">
        <v>11</v>
      </c>
      <c r="C343" t="s">
        <v>6</v>
      </c>
      <c r="D343">
        <v>1</v>
      </c>
      <c r="E343">
        <v>2023</v>
      </c>
      <c r="F343">
        <v>11</v>
      </c>
      <c r="G343" t="s">
        <v>6</v>
      </c>
      <c r="H343">
        <v>7.5</v>
      </c>
      <c r="I343">
        <f t="shared" si="5"/>
        <v>7.5</v>
      </c>
    </row>
    <row r="344" spans="1:9" x14ac:dyDescent="0.3">
      <c r="A344">
        <v>841</v>
      </c>
      <c r="B344">
        <v>12</v>
      </c>
      <c r="C344" t="s">
        <v>7</v>
      </c>
      <c r="D344">
        <v>1</v>
      </c>
      <c r="E344">
        <v>2023</v>
      </c>
      <c r="F344">
        <v>12</v>
      </c>
      <c r="G344" t="s">
        <v>7</v>
      </c>
      <c r="H344">
        <v>5.3</v>
      </c>
      <c r="I344">
        <f t="shared" si="5"/>
        <v>5.3</v>
      </c>
    </row>
    <row r="345" spans="1:9" x14ac:dyDescent="0.3">
      <c r="A345">
        <v>842</v>
      </c>
      <c r="B345">
        <v>5</v>
      </c>
      <c r="C345" t="s">
        <v>7</v>
      </c>
      <c r="D345">
        <v>2</v>
      </c>
      <c r="E345">
        <v>2023</v>
      </c>
      <c r="F345">
        <v>5</v>
      </c>
      <c r="G345" t="s">
        <v>7</v>
      </c>
      <c r="H345">
        <v>5.3</v>
      </c>
      <c r="I345">
        <f t="shared" si="5"/>
        <v>10.6</v>
      </c>
    </row>
    <row r="346" spans="1:9" x14ac:dyDescent="0.3">
      <c r="A346">
        <v>842</v>
      </c>
      <c r="B346">
        <v>7</v>
      </c>
      <c r="C346" t="s">
        <v>6</v>
      </c>
      <c r="D346">
        <v>3</v>
      </c>
      <c r="E346">
        <v>2023</v>
      </c>
      <c r="F346">
        <v>7</v>
      </c>
      <c r="G346" t="s">
        <v>6</v>
      </c>
      <c r="H346">
        <v>7.5</v>
      </c>
      <c r="I346">
        <f t="shared" si="5"/>
        <v>22.5</v>
      </c>
    </row>
    <row r="347" spans="1:9" x14ac:dyDescent="0.3">
      <c r="A347">
        <v>843</v>
      </c>
      <c r="B347">
        <v>2</v>
      </c>
      <c r="C347" t="s">
        <v>7</v>
      </c>
      <c r="D347">
        <v>1</v>
      </c>
      <c r="E347">
        <v>2023</v>
      </c>
      <c r="F347">
        <v>2</v>
      </c>
      <c r="G347" t="s">
        <v>7</v>
      </c>
      <c r="H347">
        <v>5.0999999999999996</v>
      </c>
      <c r="I347">
        <f t="shared" si="5"/>
        <v>5.0999999999999996</v>
      </c>
    </row>
    <row r="348" spans="1:9" x14ac:dyDescent="0.3">
      <c r="A348">
        <v>843</v>
      </c>
      <c r="B348">
        <v>3</v>
      </c>
      <c r="C348" t="s">
        <v>6</v>
      </c>
      <c r="D348">
        <v>1</v>
      </c>
      <c r="E348">
        <v>2023</v>
      </c>
      <c r="F348">
        <v>3</v>
      </c>
      <c r="G348" t="s">
        <v>6</v>
      </c>
      <c r="H348">
        <v>6.7</v>
      </c>
      <c r="I348">
        <f t="shared" si="5"/>
        <v>6.7</v>
      </c>
    </row>
    <row r="349" spans="1:9" x14ac:dyDescent="0.3">
      <c r="A349">
        <v>843</v>
      </c>
      <c r="B349">
        <v>7</v>
      </c>
      <c r="C349" t="s">
        <v>7</v>
      </c>
      <c r="D349">
        <v>1</v>
      </c>
      <c r="E349">
        <v>2023</v>
      </c>
      <c r="F349">
        <v>7</v>
      </c>
      <c r="G349" t="s">
        <v>7</v>
      </c>
      <c r="H349">
        <v>5.3</v>
      </c>
      <c r="I349">
        <f t="shared" si="5"/>
        <v>5.3</v>
      </c>
    </row>
    <row r="350" spans="1:9" x14ac:dyDescent="0.3">
      <c r="A350">
        <v>844</v>
      </c>
      <c r="B350">
        <v>4</v>
      </c>
      <c r="C350" t="s">
        <v>7</v>
      </c>
      <c r="D350">
        <v>2</v>
      </c>
      <c r="E350">
        <v>2023</v>
      </c>
      <c r="F350">
        <v>4</v>
      </c>
      <c r="G350" t="s">
        <v>7</v>
      </c>
      <c r="H350">
        <v>4.8</v>
      </c>
      <c r="I350">
        <f t="shared" si="5"/>
        <v>9.6</v>
      </c>
    </row>
    <row r="351" spans="1:9" x14ac:dyDescent="0.3">
      <c r="A351">
        <v>844</v>
      </c>
      <c r="B351">
        <v>6</v>
      </c>
      <c r="C351" t="s">
        <v>7</v>
      </c>
      <c r="D351">
        <v>1</v>
      </c>
      <c r="E351">
        <v>2023</v>
      </c>
      <c r="F351">
        <v>6</v>
      </c>
      <c r="G351" t="s">
        <v>7</v>
      </c>
      <c r="H351">
        <v>5.3</v>
      </c>
      <c r="I351">
        <f t="shared" si="5"/>
        <v>5.3</v>
      </c>
    </row>
    <row r="352" spans="1:9" x14ac:dyDescent="0.3">
      <c r="A352">
        <v>844</v>
      </c>
      <c r="B352">
        <v>9</v>
      </c>
      <c r="C352" t="s">
        <v>6</v>
      </c>
      <c r="D352">
        <v>1</v>
      </c>
      <c r="E352">
        <v>2023</v>
      </c>
      <c r="F352">
        <v>9</v>
      </c>
      <c r="G352" t="s">
        <v>6</v>
      </c>
      <c r="H352">
        <v>7.7</v>
      </c>
      <c r="I352">
        <f t="shared" si="5"/>
        <v>7.7</v>
      </c>
    </row>
    <row r="353" spans="1:9" x14ac:dyDescent="0.3">
      <c r="A353">
        <v>844</v>
      </c>
      <c r="B353">
        <v>10</v>
      </c>
      <c r="C353" t="s">
        <v>6</v>
      </c>
      <c r="D353">
        <v>1</v>
      </c>
      <c r="E353">
        <v>2023</v>
      </c>
      <c r="F353">
        <v>10</v>
      </c>
      <c r="G353" t="s">
        <v>6</v>
      </c>
      <c r="H353">
        <v>7.5</v>
      </c>
      <c r="I353">
        <f t="shared" si="5"/>
        <v>7.5</v>
      </c>
    </row>
    <row r="354" spans="1:9" x14ac:dyDescent="0.3">
      <c r="A354">
        <v>845</v>
      </c>
      <c r="B354">
        <v>3</v>
      </c>
      <c r="C354" t="s">
        <v>7</v>
      </c>
      <c r="D354">
        <v>1</v>
      </c>
      <c r="E354">
        <v>2023</v>
      </c>
      <c r="F354">
        <v>3</v>
      </c>
      <c r="G354" t="s">
        <v>7</v>
      </c>
      <c r="H354">
        <v>5.0999999999999996</v>
      </c>
      <c r="I354">
        <f t="shared" si="5"/>
        <v>5.0999999999999996</v>
      </c>
    </row>
    <row r="355" spans="1:9" x14ac:dyDescent="0.3">
      <c r="A355">
        <v>845</v>
      </c>
      <c r="B355">
        <v>12</v>
      </c>
      <c r="C355" t="s">
        <v>7</v>
      </c>
      <c r="D355">
        <v>1</v>
      </c>
      <c r="E355">
        <v>2023</v>
      </c>
      <c r="F355">
        <v>12</v>
      </c>
      <c r="G355" t="s">
        <v>7</v>
      </c>
      <c r="H355">
        <v>5.3</v>
      </c>
      <c r="I355">
        <f t="shared" si="5"/>
        <v>5.3</v>
      </c>
    </row>
    <row r="356" spans="1:9" x14ac:dyDescent="0.3">
      <c r="A356">
        <v>848</v>
      </c>
      <c r="B356">
        <v>3</v>
      </c>
      <c r="C356" t="s">
        <v>6</v>
      </c>
      <c r="D356">
        <v>2</v>
      </c>
      <c r="E356">
        <v>2023</v>
      </c>
      <c r="F356">
        <v>3</v>
      </c>
      <c r="G356" t="s">
        <v>6</v>
      </c>
      <c r="H356">
        <v>6.7</v>
      </c>
      <c r="I356">
        <f t="shared" si="5"/>
        <v>13.4</v>
      </c>
    </row>
    <row r="357" spans="1:9" x14ac:dyDescent="0.3">
      <c r="A357">
        <v>848</v>
      </c>
      <c r="B357">
        <v>7</v>
      </c>
      <c r="C357" t="s">
        <v>7</v>
      </c>
      <c r="D357">
        <v>1</v>
      </c>
      <c r="E357">
        <v>2023</v>
      </c>
      <c r="F357">
        <v>7</v>
      </c>
      <c r="G357" t="s">
        <v>7</v>
      </c>
      <c r="H357">
        <v>5.3</v>
      </c>
      <c r="I357">
        <f t="shared" si="5"/>
        <v>5.3</v>
      </c>
    </row>
    <row r="358" spans="1:9" x14ac:dyDescent="0.3">
      <c r="A358">
        <v>849</v>
      </c>
      <c r="B358">
        <v>1</v>
      </c>
      <c r="C358" t="s">
        <v>9</v>
      </c>
      <c r="D358">
        <v>1</v>
      </c>
      <c r="E358">
        <v>2023</v>
      </c>
      <c r="F358">
        <v>1</v>
      </c>
      <c r="G358" t="s">
        <v>9</v>
      </c>
      <c r="H358">
        <v>9.9</v>
      </c>
      <c r="I358">
        <f t="shared" si="5"/>
        <v>9.9</v>
      </c>
    </row>
    <row r="359" spans="1:9" x14ac:dyDescent="0.3">
      <c r="A359">
        <v>849</v>
      </c>
      <c r="B359">
        <v>6</v>
      </c>
      <c r="C359" t="s">
        <v>7</v>
      </c>
      <c r="D359">
        <v>1</v>
      </c>
      <c r="E359">
        <v>2023</v>
      </c>
      <c r="F359">
        <v>6</v>
      </c>
      <c r="G359" t="s">
        <v>7</v>
      </c>
      <c r="H359">
        <v>5.3</v>
      </c>
      <c r="I359">
        <f t="shared" si="5"/>
        <v>5.3</v>
      </c>
    </row>
    <row r="360" spans="1:9" x14ac:dyDescent="0.3">
      <c r="A360">
        <v>850</v>
      </c>
      <c r="B360">
        <v>12</v>
      </c>
      <c r="C360" t="s">
        <v>6</v>
      </c>
      <c r="D360">
        <v>1</v>
      </c>
      <c r="E360">
        <v>2023</v>
      </c>
      <c r="F360">
        <v>12</v>
      </c>
      <c r="G360" t="s">
        <v>6</v>
      </c>
      <c r="H360">
        <v>7.5</v>
      </c>
      <c r="I360">
        <f t="shared" si="5"/>
        <v>7.5</v>
      </c>
    </row>
    <row r="361" spans="1:9" x14ac:dyDescent="0.3">
      <c r="A361">
        <v>851</v>
      </c>
      <c r="B361">
        <v>9</v>
      </c>
      <c r="C361" t="s">
        <v>6</v>
      </c>
      <c r="D361">
        <v>1</v>
      </c>
      <c r="E361">
        <v>2023</v>
      </c>
      <c r="F361">
        <v>9</v>
      </c>
      <c r="G361" t="s">
        <v>6</v>
      </c>
      <c r="H361">
        <v>7.7</v>
      </c>
      <c r="I361">
        <f t="shared" si="5"/>
        <v>7.7</v>
      </c>
    </row>
    <row r="362" spans="1:9" x14ac:dyDescent="0.3">
      <c r="A362">
        <v>852</v>
      </c>
      <c r="B362">
        <v>2</v>
      </c>
      <c r="C362" t="s">
        <v>7</v>
      </c>
      <c r="D362">
        <v>1</v>
      </c>
      <c r="E362">
        <v>2023</v>
      </c>
      <c r="F362">
        <v>2</v>
      </c>
      <c r="G362" t="s">
        <v>7</v>
      </c>
      <c r="H362">
        <v>5.0999999999999996</v>
      </c>
      <c r="I362">
        <f t="shared" si="5"/>
        <v>5.0999999999999996</v>
      </c>
    </row>
    <row r="363" spans="1:9" x14ac:dyDescent="0.3">
      <c r="A363">
        <v>852</v>
      </c>
      <c r="B363">
        <v>7</v>
      </c>
      <c r="C363" t="s">
        <v>6</v>
      </c>
      <c r="D363">
        <v>1</v>
      </c>
      <c r="E363">
        <v>2023</v>
      </c>
      <c r="F363">
        <v>7</v>
      </c>
      <c r="G363" t="s">
        <v>6</v>
      </c>
      <c r="H363">
        <v>7.5</v>
      </c>
      <c r="I363">
        <f t="shared" si="5"/>
        <v>7.5</v>
      </c>
    </row>
    <row r="364" spans="1:9" x14ac:dyDescent="0.3">
      <c r="A364">
        <v>852</v>
      </c>
      <c r="B364">
        <v>9</v>
      </c>
      <c r="C364" t="s">
        <v>7</v>
      </c>
      <c r="D364">
        <v>1</v>
      </c>
      <c r="E364">
        <v>2023</v>
      </c>
      <c r="F364">
        <v>9</v>
      </c>
      <c r="G364" t="s">
        <v>7</v>
      </c>
      <c r="H364">
        <v>5.2</v>
      </c>
      <c r="I364">
        <f t="shared" si="5"/>
        <v>5.2</v>
      </c>
    </row>
    <row r="365" spans="1:9" x14ac:dyDescent="0.3">
      <c r="A365">
        <v>852</v>
      </c>
      <c r="B365">
        <v>10</v>
      </c>
      <c r="C365" t="s">
        <v>6</v>
      </c>
      <c r="D365">
        <v>2</v>
      </c>
      <c r="E365">
        <v>2023</v>
      </c>
      <c r="F365">
        <v>10</v>
      </c>
      <c r="G365" t="s">
        <v>6</v>
      </c>
      <c r="H365">
        <v>7.5</v>
      </c>
      <c r="I365">
        <f t="shared" si="5"/>
        <v>15</v>
      </c>
    </row>
    <row r="366" spans="1:9" x14ac:dyDescent="0.3">
      <c r="A366">
        <v>853</v>
      </c>
      <c r="B366">
        <v>4</v>
      </c>
      <c r="C366" t="s">
        <v>7</v>
      </c>
      <c r="D366">
        <v>1</v>
      </c>
      <c r="E366">
        <v>2023</v>
      </c>
      <c r="F366">
        <v>4</v>
      </c>
      <c r="G366" t="s">
        <v>7</v>
      </c>
      <c r="H366">
        <v>4.8</v>
      </c>
      <c r="I366">
        <f t="shared" si="5"/>
        <v>4.8</v>
      </c>
    </row>
    <row r="367" spans="1:9" x14ac:dyDescent="0.3">
      <c r="A367">
        <v>856</v>
      </c>
      <c r="B367">
        <v>1</v>
      </c>
      <c r="C367" t="s">
        <v>8</v>
      </c>
      <c r="D367">
        <v>2</v>
      </c>
      <c r="E367">
        <v>2023</v>
      </c>
      <c r="F367">
        <v>1</v>
      </c>
      <c r="G367" t="s">
        <v>8</v>
      </c>
      <c r="H367">
        <v>3.9</v>
      </c>
      <c r="I367">
        <f t="shared" si="5"/>
        <v>7.8</v>
      </c>
    </row>
    <row r="368" spans="1:9" x14ac:dyDescent="0.3">
      <c r="A368">
        <v>856</v>
      </c>
      <c r="B368">
        <v>9</v>
      </c>
      <c r="C368" t="s">
        <v>6</v>
      </c>
      <c r="D368">
        <v>1</v>
      </c>
      <c r="E368">
        <v>2023</v>
      </c>
      <c r="F368">
        <v>9</v>
      </c>
      <c r="G368" t="s">
        <v>6</v>
      </c>
      <c r="H368">
        <v>7.7</v>
      </c>
      <c r="I368">
        <f t="shared" si="5"/>
        <v>7.7</v>
      </c>
    </row>
    <row r="369" spans="1:9" x14ac:dyDescent="0.3">
      <c r="A369">
        <v>857</v>
      </c>
      <c r="B369">
        <v>2</v>
      </c>
      <c r="C369" t="s">
        <v>7</v>
      </c>
      <c r="D369">
        <v>1</v>
      </c>
      <c r="E369">
        <v>2023</v>
      </c>
      <c r="F369">
        <v>2</v>
      </c>
      <c r="G369" t="s">
        <v>7</v>
      </c>
      <c r="H369">
        <v>5.0999999999999996</v>
      </c>
      <c r="I369">
        <f t="shared" si="5"/>
        <v>5.0999999999999996</v>
      </c>
    </row>
    <row r="370" spans="1:9" x14ac:dyDescent="0.3">
      <c r="A370">
        <v>858</v>
      </c>
      <c r="B370">
        <v>5</v>
      </c>
      <c r="C370" t="s">
        <v>7</v>
      </c>
      <c r="D370">
        <v>1</v>
      </c>
      <c r="E370">
        <v>2023</v>
      </c>
      <c r="F370">
        <v>5</v>
      </c>
      <c r="G370" t="s">
        <v>7</v>
      </c>
      <c r="H370">
        <v>5.3</v>
      </c>
      <c r="I370">
        <f t="shared" si="5"/>
        <v>5.3</v>
      </c>
    </row>
    <row r="371" spans="1:9" x14ac:dyDescent="0.3">
      <c r="A371">
        <v>858</v>
      </c>
      <c r="B371">
        <v>10</v>
      </c>
      <c r="C371" t="s">
        <v>7</v>
      </c>
      <c r="D371">
        <v>2</v>
      </c>
      <c r="E371">
        <v>2023</v>
      </c>
      <c r="F371">
        <v>10</v>
      </c>
      <c r="G371" t="s">
        <v>7</v>
      </c>
      <c r="H371">
        <v>5.3</v>
      </c>
      <c r="I371">
        <f t="shared" si="5"/>
        <v>10.6</v>
      </c>
    </row>
    <row r="372" spans="1:9" x14ac:dyDescent="0.3">
      <c r="A372">
        <v>859</v>
      </c>
      <c r="B372">
        <v>1</v>
      </c>
      <c r="C372" t="s">
        <v>6</v>
      </c>
      <c r="D372">
        <v>1</v>
      </c>
      <c r="E372">
        <v>2023</v>
      </c>
      <c r="F372">
        <v>1</v>
      </c>
      <c r="G372" t="s">
        <v>6</v>
      </c>
      <c r="H372">
        <v>6.7</v>
      </c>
      <c r="I372">
        <f t="shared" si="5"/>
        <v>6.7</v>
      </c>
    </row>
    <row r="373" spans="1:9" x14ac:dyDescent="0.3">
      <c r="A373">
        <v>861</v>
      </c>
      <c r="B373">
        <v>6</v>
      </c>
      <c r="C373" t="s">
        <v>6</v>
      </c>
      <c r="D373">
        <v>1</v>
      </c>
      <c r="E373">
        <v>2023</v>
      </c>
      <c r="F373">
        <v>6</v>
      </c>
      <c r="G373" t="s">
        <v>6</v>
      </c>
      <c r="H373">
        <v>7.5</v>
      </c>
      <c r="I373">
        <f t="shared" si="5"/>
        <v>7.5</v>
      </c>
    </row>
    <row r="374" spans="1:9" x14ac:dyDescent="0.3">
      <c r="A374">
        <v>861</v>
      </c>
      <c r="B374">
        <v>9</v>
      </c>
      <c r="C374" t="s">
        <v>6</v>
      </c>
      <c r="D374">
        <v>1</v>
      </c>
      <c r="E374">
        <v>2023</v>
      </c>
      <c r="F374">
        <v>9</v>
      </c>
      <c r="G374" t="s">
        <v>6</v>
      </c>
      <c r="H374">
        <v>7.7</v>
      </c>
      <c r="I374">
        <f t="shared" si="5"/>
        <v>7.7</v>
      </c>
    </row>
    <row r="375" spans="1:9" x14ac:dyDescent="0.3">
      <c r="A375">
        <v>862</v>
      </c>
      <c r="B375">
        <v>5</v>
      </c>
      <c r="C375" t="s">
        <v>7</v>
      </c>
      <c r="D375">
        <v>2</v>
      </c>
      <c r="E375">
        <v>2023</v>
      </c>
      <c r="F375">
        <v>5</v>
      </c>
      <c r="G375" t="s">
        <v>7</v>
      </c>
      <c r="H375">
        <v>5.3</v>
      </c>
      <c r="I375">
        <f t="shared" si="5"/>
        <v>10.6</v>
      </c>
    </row>
    <row r="376" spans="1:9" x14ac:dyDescent="0.3">
      <c r="A376">
        <v>863</v>
      </c>
      <c r="B376">
        <v>6</v>
      </c>
      <c r="C376" t="s">
        <v>7</v>
      </c>
      <c r="D376">
        <v>1</v>
      </c>
      <c r="E376">
        <v>2023</v>
      </c>
      <c r="F376">
        <v>6</v>
      </c>
      <c r="G376" t="s">
        <v>7</v>
      </c>
      <c r="H376">
        <v>5.3</v>
      </c>
      <c r="I376">
        <f t="shared" si="5"/>
        <v>5.3</v>
      </c>
    </row>
    <row r="377" spans="1:9" x14ac:dyDescent="0.3">
      <c r="A377">
        <v>864</v>
      </c>
      <c r="B377">
        <v>4</v>
      </c>
      <c r="C377" t="s">
        <v>7</v>
      </c>
      <c r="D377">
        <v>2</v>
      </c>
      <c r="E377">
        <v>2023</v>
      </c>
      <c r="F377">
        <v>4</v>
      </c>
      <c r="G377" t="s">
        <v>7</v>
      </c>
      <c r="H377">
        <v>4.8</v>
      </c>
      <c r="I377">
        <f t="shared" si="5"/>
        <v>9.6</v>
      </c>
    </row>
    <row r="378" spans="1:9" x14ac:dyDescent="0.3">
      <c r="A378">
        <v>865</v>
      </c>
      <c r="B378">
        <v>6</v>
      </c>
      <c r="C378" t="s">
        <v>6</v>
      </c>
      <c r="D378">
        <v>1</v>
      </c>
      <c r="E378">
        <v>2023</v>
      </c>
      <c r="F378">
        <v>6</v>
      </c>
      <c r="G378" t="s">
        <v>6</v>
      </c>
      <c r="H378">
        <v>7.5</v>
      </c>
      <c r="I378">
        <f t="shared" si="5"/>
        <v>7.5</v>
      </c>
    </row>
    <row r="379" spans="1:9" x14ac:dyDescent="0.3">
      <c r="A379">
        <v>866</v>
      </c>
      <c r="B379">
        <v>7</v>
      </c>
      <c r="C379" t="s">
        <v>7</v>
      </c>
      <c r="D379">
        <v>1</v>
      </c>
      <c r="E379">
        <v>2023</v>
      </c>
      <c r="F379">
        <v>7</v>
      </c>
      <c r="G379" t="s">
        <v>7</v>
      </c>
      <c r="H379">
        <v>5.3</v>
      </c>
      <c r="I379">
        <f t="shared" si="5"/>
        <v>5.3</v>
      </c>
    </row>
    <row r="380" spans="1:9" x14ac:dyDescent="0.3">
      <c r="A380">
        <v>866</v>
      </c>
      <c r="B380">
        <v>13</v>
      </c>
      <c r="C380" t="s">
        <v>7</v>
      </c>
      <c r="D380">
        <v>1</v>
      </c>
      <c r="E380">
        <v>2023</v>
      </c>
      <c r="F380">
        <v>13</v>
      </c>
      <c r="G380" t="s">
        <v>7</v>
      </c>
      <c r="H380">
        <v>5.3</v>
      </c>
      <c r="I380">
        <f t="shared" si="5"/>
        <v>5.3</v>
      </c>
    </row>
    <row r="381" spans="1:9" x14ac:dyDescent="0.3">
      <c r="A381">
        <v>867</v>
      </c>
      <c r="B381">
        <v>11</v>
      </c>
      <c r="C381" t="s">
        <v>7</v>
      </c>
      <c r="D381">
        <v>1</v>
      </c>
      <c r="E381">
        <v>2023</v>
      </c>
      <c r="F381">
        <v>11</v>
      </c>
      <c r="G381" t="s">
        <v>7</v>
      </c>
      <c r="H381">
        <v>5.3</v>
      </c>
      <c r="I381">
        <f t="shared" si="5"/>
        <v>5.3</v>
      </c>
    </row>
    <row r="382" spans="1:9" x14ac:dyDescent="0.3">
      <c r="A382">
        <v>868</v>
      </c>
      <c r="B382">
        <v>5</v>
      </c>
      <c r="C382" t="s">
        <v>9</v>
      </c>
      <c r="D382">
        <v>1</v>
      </c>
      <c r="E382">
        <v>2023</v>
      </c>
      <c r="F382">
        <v>5</v>
      </c>
      <c r="G382" t="s">
        <v>9</v>
      </c>
      <c r="H382">
        <v>8.9</v>
      </c>
      <c r="I382">
        <f t="shared" si="5"/>
        <v>8.9</v>
      </c>
    </row>
    <row r="383" spans="1:9" x14ac:dyDescent="0.3">
      <c r="A383">
        <v>868</v>
      </c>
      <c r="B383">
        <v>6</v>
      </c>
      <c r="C383" t="s">
        <v>7</v>
      </c>
      <c r="D383">
        <v>1</v>
      </c>
      <c r="E383">
        <v>2023</v>
      </c>
      <c r="F383">
        <v>6</v>
      </c>
      <c r="G383" t="s">
        <v>7</v>
      </c>
      <c r="H383">
        <v>5.3</v>
      </c>
      <c r="I383">
        <f t="shared" si="5"/>
        <v>5.3</v>
      </c>
    </row>
    <row r="384" spans="1:9" x14ac:dyDescent="0.3">
      <c r="A384">
        <v>868</v>
      </c>
      <c r="B384">
        <v>8</v>
      </c>
      <c r="C384" t="s">
        <v>6</v>
      </c>
      <c r="D384">
        <v>1</v>
      </c>
      <c r="E384">
        <v>2023</v>
      </c>
      <c r="F384">
        <v>8</v>
      </c>
      <c r="G384" t="s">
        <v>6</v>
      </c>
      <c r="H384">
        <v>7.7</v>
      </c>
      <c r="I384">
        <f t="shared" si="5"/>
        <v>7.7</v>
      </c>
    </row>
    <row r="385" spans="1:9" x14ac:dyDescent="0.3">
      <c r="A385">
        <v>869</v>
      </c>
      <c r="B385">
        <v>2</v>
      </c>
      <c r="C385" t="s">
        <v>6</v>
      </c>
      <c r="D385">
        <v>1</v>
      </c>
      <c r="E385">
        <v>2023</v>
      </c>
      <c r="F385">
        <v>2</v>
      </c>
      <c r="G385" t="s">
        <v>6</v>
      </c>
      <c r="H385">
        <v>6.7</v>
      </c>
      <c r="I385">
        <f t="shared" si="5"/>
        <v>6.7</v>
      </c>
    </row>
    <row r="386" spans="1:9" x14ac:dyDescent="0.3">
      <c r="A386">
        <v>869</v>
      </c>
      <c r="B386">
        <v>12</v>
      </c>
      <c r="C386" t="s">
        <v>6</v>
      </c>
      <c r="D386">
        <v>2</v>
      </c>
      <c r="E386">
        <v>2023</v>
      </c>
      <c r="F386">
        <v>12</v>
      </c>
      <c r="G386" t="s">
        <v>6</v>
      </c>
      <c r="H386">
        <v>7.5</v>
      </c>
      <c r="I386">
        <f t="shared" si="5"/>
        <v>15</v>
      </c>
    </row>
    <row r="387" spans="1:9" x14ac:dyDescent="0.3">
      <c r="A387">
        <v>870</v>
      </c>
      <c r="B387">
        <v>4</v>
      </c>
      <c r="C387" t="s">
        <v>7</v>
      </c>
      <c r="D387">
        <v>1</v>
      </c>
      <c r="E387">
        <v>2023</v>
      </c>
      <c r="F387">
        <v>4</v>
      </c>
      <c r="G387" t="s">
        <v>7</v>
      </c>
      <c r="H387">
        <v>4.8</v>
      </c>
      <c r="I387">
        <f t="shared" ref="I387:I450" si="6">D387*H387</f>
        <v>4.8</v>
      </c>
    </row>
    <row r="388" spans="1:9" x14ac:dyDescent="0.3">
      <c r="A388">
        <v>870</v>
      </c>
      <c r="B388">
        <v>12</v>
      </c>
      <c r="C388" t="s">
        <v>7</v>
      </c>
      <c r="D388">
        <v>1</v>
      </c>
      <c r="E388">
        <v>2023</v>
      </c>
      <c r="F388">
        <v>12</v>
      </c>
      <c r="G388" t="s">
        <v>7</v>
      </c>
      <c r="H388">
        <v>5.3</v>
      </c>
      <c r="I388">
        <f t="shared" si="6"/>
        <v>5.3</v>
      </c>
    </row>
    <row r="389" spans="1:9" x14ac:dyDescent="0.3">
      <c r="A389">
        <v>871</v>
      </c>
      <c r="B389">
        <v>1</v>
      </c>
      <c r="C389" t="s">
        <v>6</v>
      </c>
      <c r="D389">
        <v>1</v>
      </c>
      <c r="E389">
        <v>2023</v>
      </c>
      <c r="F389">
        <v>1</v>
      </c>
      <c r="G389" t="s">
        <v>6</v>
      </c>
      <c r="H389">
        <v>6.7</v>
      </c>
      <c r="I389">
        <f t="shared" si="6"/>
        <v>6.7</v>
      </c>
    </row>
    <row r="390" spans="1:9" x14ac:dyDescent="0.3">
      <c r="A390">
        <v>873</v>
      </c>
      <c r="B390">
        <v>3</v>
      </c>
      <c r="C390" t="s">
        <v>7</v>
      </c>
      <c r="D390">
        <v>2</v>
      </c>
      <c r="E390">
        <v>2023</v>
      </c>
      <c r="F390">
        <v>3</v>
      </c>
      <c r="G390" t="s">
        <v>7</v>
      </c>
      <c r="H390">
        <v>5.0999999999999996</v>
      </c>
      <c r="I390">
        <f t="shared" si="6"/>
        <v>10.199999999999999</v>
      </c>
    </row>
    <row r="391" spans="1:9" x14ac:dyDescent="0.3">
      <c r="A391">
        <v>873</v>
      </c>
      <c r="B391">
        <v>9</v>
      </c>
      <c r="C391" t="s">
        <v>6</v>
      </c>
      <c r="D391">
        <v>1</v>
      </c>
      <c r="E391">
        <v>2023</v>
      </c>
      <c r="F391">
        <v>9</v>
      </c>
      <c r="G391" t="s">
        <v>6</v>
      </c>
      <c r="H391">
        <v>7.7</v>
      </c>
      <c r="I391">
        <f t="shared" si="6"/>
        <v>7.7</v>
      </c>
    </row>
    <row r="392" spans="1:9" x14ac:dyDescent="0.3">
      <c r="A392">
        <v>874</v>
      </c>
      <c r="B392">
        <v>11</v>
      </c>
      <c r="C392" t="s">
        <v>6</v>
      </c>
      <c r="D392">
        <v>1</v>
      </c>
      <c r="E392">
        <v>2023</v>
      </c>
      <c r="F392">
        <v>11</v>
      </c>
      <c r="G392" t="s">
        <v>6</v>
      </c>
      <c r="H392">
        <v>7.5</v>
      </c>
      <c r="I392">
        <f t="shared" si="6"/>
        <v>7.5</v>
      </c>
    </row>
    <row r="393" spans="1:9" x14ac:dyDescent="0.3">
      <c r="A393">
        <v>874</v>
      </c>
      <c r="B393">
        <v>12</v>
      </c>
      <c r="C393" t="s">
        <v>7</v>
      </c>
      <c r="D393">
        <v>1</v>
      </c>
      <c r="E393">
        <v>2023</v>
      </c>
      <c r="F393">
        <v>12</v>
      </c>
      <c r="G393" t="s">
        <v>7</v>
      </c>
      <c r="H393">
        <v>5.3</v>
      </c>
      <c r="I393">
        <f t="shared" si="6"/>
        <v>5.3</v>
      </c>
    </row>
    <row r="394" spans="1:9" x14ac:dyDescent="0.3">
      <c r="A394">
        <v>875</v>
      </c>
      <c r="B394">
        <v>5</v>
      </c>
      <c r="C394" t="s">
        <v>7</v>
      </c>
      <c r="D394">
        <v>1</v>
      </c>
      <c r="E394">
        <v>2023</v>
      </c>
      <c r="F394">
        <v>5</v>
      </c>
      <c r="G394" t="s">
        <v>7</v>
      </c>
      <c r="H394">
        <v>5.3</v>
      </c>
      <c r="I394">
        <f t="shared" si="6"/>
        <v>5.3</v>
      </c>
    </row>
    <row r="395" spans="1:9" x14ac:dyDescent="0.3">
      <c r="A395">
        <v>875</v>
      </c>
      <c r="B395">
        <v>7</v>
      </c>
      <c r="C395" t="s">
        <v>6</v>
      </c>
      <c r="D395">
        <v>3</v>
      </c>
      <c r="E395">
        <v>2023</v>
      </c>
      <c r="F395">
        <v>7</v>
      </c>
      <c r="G395" t="s">
        <v>6</v>
      </c>
      <c r="H395">
        <v>7.5</v>
      </c>
      <c r="I395">
        <f t="shared" si="6"/>
        <v>22.5</v>
      </c>
    </row>
    <row r="396" spans="1:9" x14ac:dyDescent="0.3">
      <c r="A396">
        <v>877</v>
      </c>
      <c r="B396">
        <v>1</v>
      </c>
      <c r="C396" t="s">
        <v>8</v>
      </c>
      <c r="D396">
        <v>2</v>
      </c>
      <c r="E396">
        <v>2023</v>
      </c>
      <c r="F396">
        <v>1</v>
      </c>
      <c r="G396" t="s">
        <v>8</v>
      </c>
      <c r="H396">
        <v>3.9</v>
      </c>
      <c r="I396">
        <f t="shared" si="6"/>
        <v>7.8</v>
      </c>
    </row>
    <row r="397" spans="1:9" x14ac:dyDescent="0.3">
      <c r="A397">
        <v>877</v>
      </c>
      <c r="B397">
        <v>3</v>
      </c>
      <c r="C397" t="s">
        <v>6</v>
      </c>
      <c r="D397">
        <v>3</v>
      </c>
      <c r="E397">
        <v>2023</v>
      </c>
      <c r="F397">
        <v>3</v>
      </c>
      <c r="G397" t="s">
        <v>6</v>
      </c>
      <c r="H397">
        <v>6.7</v>
      </c>
      <c r="I397">
        <f t="shared" si="6"/>
        <v>20.100000000000001</v>
      </c>
    </row>
    <row r="398" spans="1:9" x14ac:dyDescent="0.3">
      <c r="A398">
        <v>877</v>
      </c>
      <c r="B398">
        <v>6</v>
      </c>
      <c r="C398" t="s">
        <v>7</v>
      </c>
      <c r="D398">
        <v>1</v>
      </c>
      <c r="E398">
        <v>2023</v>
      </c>
      <c r="F398">
        <v>6</v>
      </c>
      <c r="G398" t="s">
        <v>7</v>
      </c>
      <c r="H398">
        <v>5.3</v>
      </c>
      <c r="I398">
        <f t="shared" si="6"/>
        <v>5.3</v>
      </c>
    </row>
    <row r="399" spans="1:9" x14ac:dyDescent="0.3">
      <c r="A399">
        <v>877</v>
      </c>
      <c r="B399">
        <v>7</v>
      </c>
      <c r="C399" t="s">
        <v>7</v>
      </c>
      <c r="D399">
        <v>1</v>
      </c>
      <c r="E399">
        <v>2023</v>
      </c>
      <c r="F399">
        <v>7</v>
      </c>
      <c r="G399" t="s">
        <v>7</v>
      </c>
      <c r="H399">
        <v>5.3</v>
      </c>
      <c r="I399">
        <f t="shared" si="6"/>
        <v>5.3</v>
      </c>
    </row>
    <row r="400" spans="1:9" x14ac:dyDescent="0.3">
      <c r="A400">
        <v>878</v>
      </c>
      <c r="B400">
        <v>9</v>
      </c>
      <c r="C400" t="s">
        <v>6</v>
      </c>
      <c r="D400">
        <v>1</v>
      </c>
      <c r="E400">
        <v>2023</v>
      </c>
      <c r="F400">
        <v>9</v>
      </c>
      <c r="G400" t="s">
        <v>6</v>
      </c>
      <c r="H400">
        <v>7.7</v>
      </c>
      <c r="I400">
        <f t="shared" si="6"/>
        <v>7.7</v>
      </c>
    </row>
    <row r="401" spans="1:9" x14ac:dyDescent="0.3">
      <c r="A401">
        <v>878</v>
      </c>
      <c r="B401">
        <v>10</v>
      </c>
      <c r="C401" t="s">
        <v>6</v>
      </c>
      <c r="D401">
        <v>1</v>
      </c>
      <c r="E401">
        <v>2023</v>
      </c>
      <c r="F401">
        <v>10</v>
      </c>
      <c r="G401" t="s">
        <v>6</v>
      </c>
      <c r="H401">
        <v>7.5</v>
      </c>
      <c r="I401">
        <f t="shared" si="6"/>
        <v>7.5</v>
      </c>
    </row>
    <row r="402" spans="1:9" x14ac:dyDescent="0.3">
      <c r="A402">
        <v>878</v>
      </c>
      <c r="B402">
        <v>12</v>
      </c>
      <c r="C402" t="s">
        <v>6</v>
      </c>
      <c r="D402">
        <v>1</v>
      </c>
      <c r="E402">
        <v>2023</v>
      </c>
      <c r="F402">
        <v>12</v>
      </c>
      <c r="G402" t="s">
        <v>6</v>
      </c>
      <c r="H402">
        <v>7.5</v>
      </c>
      <c r="I402">
        <f t="shared" si="6"/>
        <v>7.5</v>
      </c>
    </row>
    <row r="403" spans="1:9" x14ac:dyDescent="0.3">
      <c r="A403">
        <v>879</v>
      </c>
      <c r="B403">
        <v>7</v>
      </c>
      <c r="C403" t="s">
        <v>6</v>
      </c>
      <c r="D403">
        <v>1</v>
      </c>
      <c r="E403">
        <v>2023</v>
      </c>
      <c r="F403">
        <v>7</v>
      </c>
      <c r="G403" t="s">
        <v>6</v>
      </c>
      <c r="H403">
        <v>7.5</v>
      </c>
      <c r="I403">
        <f t="shared" si="6"/>
        <v>7.5</v>
      </c>
    </row>
    <row r="404" spans="1:9" x14ac:dyDescent="0.3">
      <c r="A404">
        <v>879</v>
      </c>
      <c r="B404">
        <v>9</v>
      </c>
      <c r="C404" t="s">
        <v>7</v>
      </c>
      <c r="D404">
        <v>3</v>
      </c>
      <c r="E404">
        <v>2023</v>
      </c>
      <c r="F404">
        <v>9</v>
      </c>
      <c r="G404" t="s">
        <v>7</v>
      </c>
      <c r="H404">
        <v>5.2</v>
      </c>
      <c r="I404">
        <f t="shared" si="6"/>
        <v>15.600000000000001</v>
      </c>
    </row>
    <row r="405" spans="1:9" x14ac:dyDescent="0.3">
      <c r="A405">
        <v>880</v>
      </c>
      <c r="B405">
        <v>2</v>
      </c>
      <c r="C405" t="s">
        <v>7</v>
      </c>
      <c r="D405">
        <v>1</v>
      </c>
      <c r="E405">
        <v>2023</v>
      </c>
      <c r="F405">
        <v>2</v>
      </c>
      <c r="G405" t="s">
        <v>7</v>
      </c>
      <c r="H405">
        <v>5.0999999999999996</v>
      </c>
      <c r="I405">
        <f t="shared" si="6"/>
        <v>5.0999999999999996</v>
      </c>
    </row>
    <row r="406" spans="1:9" x14ac:dyDescent="0.3">
      <c r="A406">
        <v>880</v>
      </c>
      <c r="B406">
        <v>4</v>
      </c>
      <c r="C406" t="s">
        <v>7</v>
      </c>
      <c r="D406">
        <v>1</v>
      </c>
      <c r="E406">
        <v>2023</v>
      </c>
      <c r="F406">
        <v>4</v>
      </c>
      <c r="G406" t="s">
        <v>7</v>
      </c>
      <c r="H406">
        <v>4.8</v>
      </c>
      <c r="I406">
        <f t="shared" si="6"/>
        <v>4.8</v>
      </c>
    </row>
    <row r="407" spans="1:9" x14ac:dyDescent="0.3">
      <c r="A407">
        <v>881</v>
      </c>
      <c r="B407">
        <v>8</v>
      </c>
      <c r="C407" t="s">
        <v>9</v>
      </c>
      <c r="D407">
        <v>2</v>
      </c>
      <c r="E407">
        <v>2023</v>
      </c>
      <c r="F407">
        <v>8</v>
      </c>
      <c r="G407" t="s">
        <v>9</v>
      </c>
      <c r="H407">
        <v>9.6</v>
      </c>
      <c r="I407">
        <f t="shared" si="6"/>
        <v>19.2</v>
      </c>
    </row>
    <row r="408" spans="1:9" x14ac:dyDescent="0.3">
      <c r="A408">
        <v>881</v>
      </c>
      <c r="B408">
        <v>10</v>
      </c>
      <c r="C408" t="s">
        <v>6</v>
      </c>
      <c r="D408">
        <v>1</v>
      </c>
      <c r="E408">
        <v>2023</v>
      </c>
      <c r="F408">
        <v>10</v>
      </c>
      <c r="G408" t="s">
        <v>6</v>
      </c>
      <c r="H408">
        <v>7.5</v>
      </c>
      <c r="I408">
        <f t="shared" si="6"/>
        <v>7.5</v>
      </c>
    </row>
    <row r="409" spans="1:9" x14ac:dyDescent="0.3">
      <c r="A409">
        <v>882</v>
      </c>
      <c r="B409">
        <v>1</v>
      </c>
      <c r="C409" t="s">
        <v>7</v>
      </c>
      <c r="D409">
        <v>1</v>
      </c>
      <c r="E409">
        <v>2023</v>
      </c>
      <c r="F409">
        <v>1</v>
      </c>
      <c r="G409" t="s">
        <v>7</v>
      </c>
      <c r="H409">
        <v>5.0999999999999996</v>
      </c>
      <c r="I409">
        <f t="shared" si="6"/>
        <v>5.0999999999999996</v>
      </c>
    </row>
    <row r="410" spans="1:9" x14ac:dyDescent="0.3">
      <c r="A410">
        <v>882</v>
      </c>
      <c r="B410">
        <v>9</v>
      </c>
      <c r="C410" t="s">
        <v>6</v>
      </c>
      <c r="D410">
        <v>2</v>
      </c>
      <c r="E410">
        <v>2023</v>
      </c>
      <c r="F410">
        <v>9</v>
      </c>
      <c r="G410" t="s">
        <v>6</v>
      </c>
      <c r="H410">
        <v>7.7</v>
      </c>
      <c r="I410">
        <f t="shared" si="6"/>
        <v>15.4</v>
      </c>
    </row>
    <row r="411" spans="1:9" x14ac:dyDescent="0.3">
      <c r="A411">
        <v>884</v>
      </c>
      <c r="B411">
        <v>5</v>
      </c>
      <c r="C411" t="s">
        <v>7</v>
      </c>
      <c r="D411">
        <v>1</v>
      </c>
      <c r="E411">
        <v>2023</v>
      </c>
      <c r="F411">
        <v>5</v>
      </c>
      <c r="G411" t="s">
        <v>7</v>
      </c>
      <c r="H411">
        <v>5.3</v>
      </c>
      <c r="I411">
        <f t="shared" si="6"/>
        <v>5.3</v>
      </c>
    </row>
    <row r="412" spans="1:9" x14ac:dyDescent="0.3">
      <c r="A412">
        <v>884</v>
      </c>
      <c r="B412">
        <v>10</v>
      </c>
      <c r="C412" t="s">
        <v>7</v>
      </c>
      <c r="D412">
        <v>4</v>
      </c>
      <c r="E412">
        <v>2023</v>
      </c>
      <c r="F412">
        <v>10</v>
      </c>
      <c r="G412" t="s">
        <v>7</v>
      </c>
      <c r="H412">
        <v>5.3</v>
      </c>
      <c r="I412">
        <f t="shared" si="6"/>
        <v>21.2</v>
      </c>
    </row>
    <row r="413" spans="1:9" x14ac:dyDescent="0.3">
      <c r="A413">
        <v>885</v>
      </c>
      <c r="B413">
        <v>1</v>
      </c>
      <c r="C413" t="s">
        <v>6</v>
      </c>
      <c r="D413">
        <v>1</v>
      </c>
      <c r="E413">
        <v>2023</v>
      </c>
      <c r="F413">
        <v>1</v>
      </c>
      <c r="G413" t="s">
        <v>6</v>
      </c>
      <c r="H413">
        <v>6.7</v>
      </c>
      <c r="I413">
        <f t="shared" si="6"/>
        <v>6.7</v>
      </c>
    </row>
    <row r="414" spans="1:9" x14ac:dyDescent="0.3">
      <c r="A414">
        <v>886</v>
      </c>
      <c r="B414">
        <v>2</v>
      </c>
      <c r="C414" t="s">
        <v>7</v>
      </c>
      <c r="D414">
        <v>1</v>
      </c>
      <c r="E414">
        <v>2023</v>
      </c>
      <c r="F414">
        <v>2</v>
      </c>
      <c r="G414" t="s">
        <v>7</v>
      </c>
      <c r="H414">
        <v>5.0999999999999996</v>
      </c>
      <c r="I414">
        <f t="shared" si="6"/>
        <v>5.0999999999999996</v>
      </c>
    </row>
    <row r="415" spans="1:9" x14ac:dyDescent="0.3">
      <c r="A415">
        <v>886</v>
      </c>
      <c r="B415">
        <v>4</v>
      </c>
      <c r="C415" t="s">
        <v>6</v>
      </c>
      <c r="D415">
        <v>1</v>
      </c>
      <c r="E415">
        <v>2023</v>
      </c>
      <c r="F415">
        <v>4</v>
      </c>
      <c r="G415" t="s">
        <v>6</v>
      </c>
      <c r="H415">
        <v>6.7</v>
      </c>
      <c r="I415">
        <f t="shared" si="6"/>
        <v>6.7</v>
      </c>
    </row>
    <row r="416" spans="1:9" x14ac:dyDescent="0.3">
      <c r="A416">
        <v>887</v>
      </c>
      <c r="B416">
        <v>6</v>
      </c>
      <c r="C416" t="s">
        <v>8</v>
      </c>
      <c r="D416">
        <v>2</v>
      </c>
      <c r="E416">
        <v>2023</v>
      </c>
      <c r="F416">
        <v>6</v>
      </c>
      <c r="G416" t="s">
        <v>8</v>
      </c>
      <c r="H416">
        <v>4.0999999999999996</v>
      </c>
      <c r="I416">
        <f t="shared" si="6"/>
        <v>8.1999999999999993</v>
      </c>
    </row>
    <row r="417" spans="1:9" x14ac:dyDescent="0.3">
      <c r="A417">
        <v>887</v>
      </c>
      <c r="B417">
        <v>9</v>
      </c>
      <c r="C417" t="s">
        <v>6</v>
      </c>
      <c r="D417">
        <v>1</v>
      </c>
      <c r="E417">
        <v>2023</v>
      </c>
      <c r="F417">
        <v>9</v>
      </c>
      <c r="G417" t="s">
        <v>6</v>
      </c>
      <c r="H417">
        <v>7.7</v>
      </c>
      <c r="I417">
        <f t="shared" si="6"/>
        <v>7.7</v>
      </c>
    </row>
    <row r="418" spans="1:9" x14ac:dyDescent="0.3">
      <c r="A418">
        <v>888</v>
      </c>
      <c r="B418">
        <v>5</v>
      </c>
      <c r="C418" t="s">
        <v>7</v>
      </c>
      <c r="D418">
        <v>2</v>
      </c>
      <c r="E418">
        <v>2023</v>
      </c>
      <c r="F418">
        <v>5</v>
      </c>
      <c r="G418" t="s">
        <v>7</v>
      </c>
      <c r="H418">
        <v>5.3</v>
      </c>
      <c r="I418">
        <f t="shared" si="6"/>
        <v>10.6</v>
      </c>
    </row>
    <row r="419" spans="1:9" x14ac:dyDescent="0.3">
      <c r="A419">
        <v>890</v>
      </c>
      <c r="B419">
        <v>6</v>
      </c>
      <c r="C419" t="s">
        <v>6</v>
      </c>
      <c r="D419">
        <v>1</v>
      </c>
      <c r="E419">
        <v>2023</v>
      </c>
      <c r="F419">
        <v>6</v>
      </c>
      <c r="G419" t="s">
        <v>6</v>
      </c>
      <c r="H419">
        <v>7.5</v>
      </c>
      <c r="I419">
        <f t="shared" si="6"/>
        <v>7.5</v>
      </c>
    </row>
    <row r="420" spans="1:9" x14ac:dyDescent="0.3">
      <c r="A420">
        <v>890</v>
      </c>
      <c r="B420">
        <v>7</v>
      </c>
      <c r="C420" t="s">
        <v>7</v>
      </c>
      <c r="D420">
        <v>1</v>
      </c>
      <c r="E420">
        <v>2023</v>
      </c>
      <c r="F420">
        <v>7</v>
      </c>
      <c r="G420" t="s">
        <v>7</v>
      </c>
      <c r="H420">
        <v>5.3</v>
      </c>
      <c r="I420">
        <f t="shared" si="6"/>
        <v>5.3</v>
      </c>
    </row>
    <row r="421" spans="1:9" x14ac:dyDescent="0.3">
      <c r="A421">
        <v>891</v>
      </c>
      <c r="B421">
        <v>7</v>
      </c>
      <c r="C421" t="s">
        <v>7</v>
      </c>
      <c r="D421">
        <v>1</v>
      </c>
      <c r="E421">
        <v>2023</v>
      </c>
      <c r="F421">
        <v>7</v>
      </c>
      <c r="G421" t="s">
        <v>7</v>
      </c>
      <c r="H421">
        <v>5.3</v>
      </c>
      <c r="I421">
        <f t="shared" si="6"/>
        <v>5.3</v>
      </c>
    </row>
    <row r="422" spans="1:9" x14ac:dyDescent="0.3">
      <c r="A422">
        <v>892</v>
      </c>
      <c r="B422">
        <v>6</v>
      </c>
      <c r="C422" t="s">
        <v>8</v>
      </c>
      <c r="D422">
        <v>2</v>
      </c>
      <c r="E422">
        <v>2023</v>
      </c>
      <c r="F422">
        <v>6</v>
      </c>
      <c r="G422" t="s">
        <v>8</v>
      </c>
      <c r="H422">
        <v>4.0999999999999996</v>
      </c>
      <c r="I422">
        <f t="shared" si="6"/>
        <v>8.1999999999999993</v>
      </c>
    </row>
    <row r="423" spans="1:9" x14ac:dyDescent="0.3">
      <c r="A423">
        <v>892</v>
      </c>
      <c r="B423">
        <v>11</v>
      </c>
      <c r="C423" t="s">
        <v>7</v>
      </c>
      <c r="D423">
        <v>1</v>
      </c>
      <c r="E423">
        <v>2023</v>
      </c>
      <c r="F423">
        <v>11</v>
      </c>
      <c r="G423" t="s">
        <v>7</v>
      </c>
      <c r="H423">
        <v>5.3</v>
      </c>
      <c r="I423">
        <f t="shared" si="6"/>
        <v>5.3</v>
      </c>
    </row>
    <row r="424" spans="1:9" x14ac:dyDescent="0.3">
      <c r="A424">
        <v>893</v>
      </c>
      <c r="B424">
        <v>5</v>
      </c>
      <c r="C424" t="s">
        <v>6</v>
      </c>
      <c r="D424">
        <v>1</v>
      </c>
      <c r="E424">
        <v>2023</v>
      </c>
      <c r="F424">
        <v>5</v>
      </c>
      <c r="G424" t="s">
        <v>6</v>
      </c>
      <c r="H424">
        <v>7.5</v>
      </c>
      <c r="I424">
        <f t="shared" si="6"/>
        <v>7.5</v>
      </c>
    </row>
    <row r="425" spans="1:9" x14ac:dyDescent="0.3">
      <c r="A425">
        <v>894</v>
      </c>
      <c r="B425">
        <v>13</v>
      </c>
      <c r="C425" t="s">
        <v>6</v>
      </c>
      <c r="D425">
        <v>1</v>
      </c>
      <c r="E425">
        <v>2023</v>
      </c>
      <c r="F425">
        <v>13</v>
      </c>
      <c r="G425" t="s">
        <v>6</v>
      </c>
      <c r="H425">
        <v>7.5</v>
      </c>
      <c r="I425">
        <f t="shared" si="6"/>
        <v>7.5</v>
      </c>
    </row>
    <row r="426" spans="1:9" x14ac:dyDescent="0.3">
      <c r="A426">
        <v>895</v>
      </c>
      <c r="B426">
        <v>2</v>
      </c>
      <c r="C426" t="s">
        <v>8</v>
      </c>
      <c r="D426">
        <v>3</v>
      </c>
      <c r="E426">
        <v>2023</v>
      </c>
      <c r="F426">
        <v>2</v>
      </c>
      <c r="G426" t="s">
        <v>8</v>
      </c>
      <c r="H426">
        <v>3.9</v>
      </c>
      <c r="I426">
        <f t="shared" si="6"/>
        <v>11.7</v>
      </c>
    </row>
    <row r="427" spans="1:9" x14ac:dyDescent="0.3">
      <c r="A427">
        <v>895</v>
      </c>
      <c r="B427">
        <v>12</v>
      </c>
      <c r="C427" t="s">
        <v>6</v>
      </c>
      <c r="D427">
        <v>1</v>
      </c>
      <c r="E427">
        <v>2023</v>
      </c>
      <c r="F427">
        <v>12</v>
      </c>
      <c r="G427" t="s">
        <v>6</v>
      </c>
      <c r="H427">
        <v>7.5</v>
      </c>
      <c r="I427">
        <f t="shared" si="6"/>
        <v>7.5</v>
      </c>
    </row>
    <row r="428" spans="1:9" x14ac:dyDescent="0.3">
      <c r="A428">
        <v>896</v>
      </c>
      <c r="B428">
        <v>1</v>
      </c>
      <c r="C428" t="s">
        <v>6</v>
      </c>
      <c r="D428">
        <v>1</v>
      </c>
      <c r="E428">
        <v>2023</v>
      </c>
      <c r="F428">
        <v>1</v>
      </c>
      <c r="G428" t="s">
        <v>6</v>
      </c>
      <c r="H428">
        <v>6.7</v>
      </c>
      <c r="I428">
        <f t="shared" si="6"/>
        <v>6.7</v>
      </c>
    </row>
    <row r="429" spans="1:9" x14ac:dyDescent="0.3">
      <c r="A429">
        <v>896</v>
      </c>
      <c r="B429">
        <v>2</v>
      </c>
      <c r="C429" t="s">
        <v>6</v>
      </c>
      <c r="D429">
        <v>2</v>
      </c>
      <c r="E429">
        <v>2023</v>
      </c>
      <c r="F429">
        <v>2</v>
      </c>
      <c r="G429" t="s">
        <v>6</v>
      </c>
      <c r="H429">
        <v>6.7</v>
      </c>
      <c r="I429">
        <f t="shared" si="6"/>
        <v>13.4</v>
      </c>
    </row>
    <row r="430" spans="1:9" x14ac:dyDescent="0.3">
      <c r="A430">
        <v>896</v>
      </c>
      <c r="B430">
        <v>4</v>
      </c>
      <c r="C430" t="s">
        <v>7</v>
      </c>
      <c r="D430">
        <v>1</v>
      </c>
      <c r="E430">
        <v>2023</v>
      </c>
      <c r="F430">
        <v>4</v>
      </c>
      <c r="G430" t="s">
        <v>7</v>
      </c>
      <c r="H430">
        <v>4.8</v>
      </c>
      <c r="I430">
        <f t="shared" si="6"/>
        <v>4.8</v>
      </c>
    </row>
    <row r="431" spans="1:9" x14ac:dyDescent="0.3">
      <c r="A431">
        <v>898</v>
      </c>
      <c r="B431">
        <v>4</v>
      </c>
      <c r="C431" t="s">
        <v>7</v>
      </c>
      <c r="D431">
        <v>2</v>
      </c>
      <c r="E431">
        <v>2023</v>
      </c>
      <c r="F431">
        <v>4</v>
      </c>
      <c r="G431" t="s">
        <v>7</v>
      </c>
      <c r="H431">
        <v>4.8</v>
      </c>
      <c r="I431">
        <f t="shared" si="6"/>
        <v>9.6</v>
      </c>
    </row>
    <row r="432" spans="1:9" x14ac:dyDescent="0.3">
      <c r="A432">
        <v>899</v>
      </c>
      <c r="B432">
        <v>3</v>
      </c>
      <c r="C432" t="s">
        <v>7</v>
      </c>
      <c r="D432">
        <v>1</v>
      </c>
      <c r="E432">
        <v>2023</v>
      </c>
      <c r="F432">
        <v>3</v>
      </c>
      <c r="G432" t="s">
        <v>7</v>
      </c>
      <c r="H432">
        <v>5.0999999999999996</v>
      </c>
      <c r="I432">
        <f t="shared" si="6"/>
        <v>5.0999999999999996</v>
      </c>
    </row>
    <row r="433" spans="1:9" x14ac:dyDescent="0.3">
      <c r="A433">
        <v>899</v>
      </c>
      <c r="B433">
        <v>9</v>
      </c>
      <c r="C433" t="s">
        <v>6</v>
      </c>
      <c r="D433">
        <v>1</v>
      </c>
      <c r="E433">
        <v>2023</v>
      </c>
      <c r="F433">
        <v>9</v>
      </c>
      <c r="G433" t="s">
        <v>6</v>
      </c>
      <c r="H433">
        <v>7.7</v>
      </c>
      <c r="I433">
        <f t="shared" si="6"/>
        <v>7.7</v>
      </c>
    </row>
    <row r="434" spans="1:9" x14ac:dyDescent="0.3">
      <c r="A434">
        <v>899</v>
      </c>
      <c r="B434">
        <v>12</v>
      </c>
      <c r="C434" t="s">
        <v>7</v>
      </c>
      <c r="D434">
        <v>1</v>
      </c>
      <c r="E434">
        <v>2023</v>
      </c>
      <c r="F434">
        <v>12</v>
      </c>
      <c r="G434" t="s">
        <v>7</v>
      </c>
      <c r="H434">
        <v>5.3</v>
      </c>
      <c r="I434">
        <f t="shared" si="6"/>
        <v>5.3</v>
      </c>
    </row>
    <row r="435" spans="1:9" x14ac:dyDescent="0.3">
      <c r="A435">
        <v>901</v>
      </c>
      <c r="B435">
        <v>5</v>
      </c>
      <c r="C435" t="s">
        <v>7</v>
      </c>
      <c r="D435">
        <v>2</v>
      </c>
      <c r="E435">
        <v>2023</v>
      </c>
      <c r="F435">
        <v>5</v>
      </c>
      <c r="G435" t="s">
        <v>7</v>
      </c>
      <c r="H435">
        <v>5.3</v>
      </c>
      <c r="I435">
        <f t="shared" si="6"/>
        <v>10.6</v>
      </c>
    </row>
    <row r="436" spans="1:9" x14ac:dyDescent="0.3">
      <c r="A436">
        <v>901</v>
      </c>
      <c r="B436">
        <v>7</v>
      </c>
      <c r="C436" t="s">
        <v>6</v>
      </c>
      <c r="D436">
        <v>1</v>
      </c>
      <c r="E436">
        <v>2023</v>
      </c>
      <c r="F436">
        <v>7</v>
      </c>
      <c r="G436" t="s">
        <v>6</v>
      </c>
      <c r="H436">
        <v>7.5</v>
      </c>
      <c r="I436">
        <f t="shared" si="6"/>
        <v>7.5</v>
      </c>
    </row>
    <row r="437" spans="1:9" x14ac:dyDescent="0.3">
      <c r="A437">
        <v>902</v>
      </c>
      <c r="B437">
        <v>2</v>
      </c>
      <c r="C437" t="s">
        <v>7</v>
      </c>
      <c r="D437">
        <v>1</v>
      </c>
      <c r="E437">
        <v>2023</v>
      </c>
      <c r="F437">
        <v>2</v>
      </c>
      <c r="G437" t="s">
        <v>7</v>
      </c>
      <c r="H437">
        <v>5.0999999999999996</v>
      </c>
      <c r="I437">
        <f t="shared" si="6"/>
        <v>5.0999999999999996</v>
      </c>
    </row>
    <row r="438" spans="1:9" x14ac:dyDescent="0.3">
      <c r="A438">
        <v>902</v>
      </c>
      <c r="B438">
        <v>7</v>
      </c>
      <c r="C438" t="s">
        <v>7</v>
      </c>
      <c r="D438">
        <v>1</v>
      </c>
      <c r="E438">
        <v>2023</v>
      </c>
      <c r="F438">
        <v>7</v>
      </c>
      <c r="G438" t="s">
        <v>7</v>
      </c>
      <c r="H438">
        <v>5.3</v>
      </c>
      <c r="I438">
        <f t="shared" si="6"/>
        <v>5.3</v>
      </c>
    </row>
    <row r="439" spans="1:9" x14ac:dyDescent="0.3">
      <c r="A439">
        <v>903</v>
      </c>
      <c r="B439">
        <v>3</v>
      </c>
      <c r="C439" t="s">
        <v>6</v>
      </c>
      <c r="D439">
        <v>2</v>
      </c>
      <c r="E439">
        <v>2023</v>
      </c>
      <c r="F439">
        <v>3</v>
      </c>
      <c r="G439" t="s">
        <v>6</v>
      </c>
      <c r="H439">
        <v>6.7</v>
      </c>
      <c r="I439">
        <f t="shared" si="6"/>
        <v>13.4</v>
      </c>
    </row>
    <row r="440" spans="1:9" x14ac:dyDescent="0.3">
      <c r="A440">
        <v>903</v>
      </c>
      <c r="B440">
        <v>6</v>
      </c>
      <c r="C440" t="s">
        <v>7</v>
      </c>
      <c r="D440">
        <v>1</v>
      </c>
      <c r="E440">
        <v>2023</v>
      </c>
      <c r="F440">
        <v>6</v>
      </c>
      <c r="G440" t="s">
        <v>7</v>
      </c>
      <c r="H440">
        <v>5.3</v>
      </c>
      <c r="I440">
        <f t="shared" si="6"/>
        <v>5.3</v>
      </c>
    </row>
    <row r="441" spans="1:9" x14ac:dyDescent="0.3">
      <c r="A441">
        <v>904</v>
      </c>
      <c r="B441">
        <v>1</v>
      </c>
      <c r="C441" t="s">
        <v>7</v>
      </c>
      <c r="D441">
        <v>1</v>
      </c>
      <c r="E441">
        <v>2023</v>
      </c>
      <c r="F441">
        <v>1</v>
      </c>
      <c r="G441" t="s">
        <v>7</v>
      </c>
      <c r="H441">
        <v>5.0999999999999996</v>
      </c>
      <c r="I441">
        <f t="shared" si="6"/>
        <v>5.0999999999999996</v>
      </c>
    </row>
    <row r="442" spans="1:9" x14ac:dyDescent="0.3">
      <c r="A442">
        <v>904</v>
      </c>
      <c r="B442">
        <v>9</v>
      </c>
      <c r="C442" t="s">
        <v>6</v>
      </c>
      <c r="D442">
        <v>1</v>
      </c>
      <c r="E442">
        <v>2023</v>
      </c>
      <c r="F442">
        <v>9</v>
      </c>
      <c r="G442" t="s">
        <v>6</v>
      </c>
      <c r="H442">
        <v>7.7</v>
      </c>
      <c r="I442">
        <f t="shared" si="6"/>
        <v>7.7</v>
      </c>
    </row>
    <row r="443" spans="1:9" x14ac:dyDescent="0.3">
      <c r="A443">
        <v>904</v>
      </c>
      <c r="B443">
        <v>12</v>
      </c>
      <c r="C443" t="s">
        <v>6</v>
      </c>
      <c r="D443">
        <v>1</v>
      </c>
      <c r="E443">
        <v>2023</v>
      </c>
      <c r="F443">
        <v>12</v>
      </c>
      <c r="G443" t="s">
        <v>6</v>
      </c>
      <c r="H443">
        <v>7.5</v>
      </c>
      <c r="I443">
        <f t="shared" si="6"/>
        <v>7.5</v>
      </c>
    </row>
    <row r="444" spans="1:9" x14ac:dyDescent="0.3">
      <c r="A444">
        <v>906</v>
      </c>
      <c r="B444">
        <v>7</v>
      </c>
      <c r="C444" t="s">
        <v>6</v>
      </c>
      <c r="D444">
        <v>1</v>
      </c>
      <c r="E444">
        <v>2023</v>
      </c>
      <c r="F444">
        <v>7</v>
      </c>
      <c r="G444" t="s">
        <v>6</v>
      </c>
      <c r="H444">
        <v>7.5</v>
      </c>
      <c r="I444">
        <f t="shared" si="6"/>
        <v>7.5</v>
      </c>
    </row>
    <row r="445" spans="1:9" x14ac:dyDescent="0.3">
      <c r="A445">
        <v>906</v>
      </c>
      <c r="B445">
        <v>9</v>
      </c>
      <c r="C445" t="s">
        <v>7</v>
      </c>
      <c r="D445">
        <v>1</v>
      </c>
      <c r="E445">
        <v>2023</v>
      </c>
      <c r="F445">
        <v>9</v>
      </c>
      <c r="G445" t="s">
        <v>7</v>
      </c>
      <c r="H445">
        <v>5.2</v>
      </c>
      <c r="I445">
        <f t="shared" si="6"/>
        <v>5.2</v>
      </c>
    </row>
    <row r="446" spans="1:9" x14ac:dyDescent="0.3">
      <c r="A446">
        <v>907</v>
      </c>
      <c r="B446">
        <v>2</v>
      </c>
      <c r="C446" t="s">
        <v>7</v>
      </c>
      <c r="D446">
        <v>1</v>
      </c>
      <c r="E446">
        <v>2023</v>
      </c>
      <c r="F446">
        <v>2</v>
      </c>
      <c r="G446" t="s">
        <v>7</v>
      </c>
      <c r="H446">
        <v>5.0999999999999996</v>
      </c>
      <c r="I446">
        <f t="shared" si="6"/>
        <v>5.0999999999999996</v>
      </c>
    </row>
    <row r="447" spans="1:9" x14ac:dyDescent="0.3">
      <c r="A447">
        <v>907</v>
      </c>
      <c r="B447">
        <v>4</v>
      </c>
      <c r="C447" t="s">
        <v>7</v>
      </c>
      <c r="D447">
        <v>1</v>
      </c>
      <c r="E447">
        <v>2023</v>
      </c>
      <c r="F447">
        <v>4</v>
      </c>
      <c r="G447" t="s">
        <v>7</v>
      </c>
      <c r="H447">
        <v>4.8</v>
      </c>
      <c r="I447">
        <f t="shared" si="6"/>
        <v>4.8</v>
      </c>
    </row>
    <row r="448" spans="1:9" x14ac:dyDescent="0.3">
      <c r="A448">
        <v>908</v>
      </c>
      <c r="B448">
        <v>8</v>
      </c>
      <c r="C448" t="s">
        <v>6</v>
      </c>
      <c r="D448">
        <v>1</v>
      </c>
      <c r="E448">
        <v>2023</v>
      </c>
      <c r="F448">
        <v>8</v>
      </c>
      <c r="G448" t="s">
        <v>6</v>
      </c>
      <c r="H448">
        <v>7.7</v>
      </c>
      <c r="I448">
        <f t="shared" si="6"/>
        <v>7.7</v>
      </c>
    </row>
    <row r="449" spans="1:9" x14ac:dyDescent="0.3">
      <c r="A449">
        <v>911</v>
      </c>
      <c r="B449">
        <v>10</v>
      </c>
      <c r="C449" t="s">
        <v>7</v>
      </c>
      <c r="D449">
        <v>2</v>
      </c>
      <c r="E449">
        <v>2023</v>
      </c>
      <c r="F449">
        <v>10</v>
      </c>
      <c r="G449" t="s">
        <v>7</v>
      </c>
      <c r="H449">
        <v>5.3</v>
      </c>
      <c r="I449">
        <f t="shared" si="6"/>
        <v>10.6</v>
      </c>
    </row>
    <row r="450" spans="1:9" x14ac:dyDescent="0.3">
      <c r="A450">
        <v>912</v>
      </c>
      <c r="B450">
        <v>1</v>
      </c>
      <c r="C450" t="s">
        <v>6</v>
      </c>
      <c r="D450">
        <v>1</v>
      </c>
      <c r="E450">
        <v>2023</v>
      </c>
      <c r="F450">
        <v>1</v>
      </c>
      <c r="G450" t="s">
        <v>6</v>
      </c>
      <c r="H450">
        <v>6.7</v>
      </c>
      <c r="I450">
        <f t="shared" si="6"/>
        <v>6.7</v>
      </c>
    </row>
    <row r="451" spans="1:9" x14ac:dyDescent="0.3">
      <c r="A451">
        <v>912</v>
      </c>
      <c r="B451">
        <v>5</v>
      </c>
      <c r="C451" t="s">
        <v>7</v>
      </c>
      <c r="D451">
        <v>1</v>
      </c>
      <c r="E451">
        <v>2023</v>
      </c>
      <c r="F451">
        <v>5</v>
      </c>
      <c r="G451" t="s">
        <v>7</v>
      </c>
      <c r="H451">
        <v>5.3</v>
      </c>
      <c r="I451">
        <f t="shared" ref="I451:I514" si="7">D451*H451</f>
        <v>5.3</v>
      </c>
    </row>
    <row r="452" spans="1:9" x14ac:dyDescent="0.3">
      <c r="A452">
        <v>913</v>
      </c>
      <c r="B452">
        <v>2</v>
      </c>
      <c r="C452" t="s">
        <v>7</v>
      </c>
      <c r="D452">
        <v>1</v>
      </c>
      <c r="E452">
        <v>2023</v>
      </c>
      <c r="F452">
        <v>2</v>
      </c>
      <c r="G452" t="s">
        <v>7</v>
      </c>
      <c r="H452">
        <v>5.0999999999999996</v>
      </c>
      <c r="I452">
        <f t="shared" si="7"/>
        <v>5.0999999999999996</v>
      </c>
    </row>
    <row r="453" spans="1:9" x14ac:dyDescent="0.3">
      <c r="A453">
        <v>913</v>
      </c>
      <c r="B453">
        <v>4</v>
      </c>
      <c r="C453" t="s">
        <v>6</v>
      </c>
      <c r="D453">
        <v>3</v>
      </c>
      <c r="E453">
        <v>2023</v>
      </c>
      <c r="F453">
        <v>4</v>
      </c>
      <c r="G453" t="s">
        <v>6</v>
      </c>
      <c r="H453">
        <v>6.7</v>
      </c>
      <c r="I453">
        <f t="shared" si="7"/>
        <v>20.100000000000001</v>
      </c>
    </row>
    <row r="454" spans="1:9" x14ac:dyDescent="0.3">
      <c r="A454">
        <v>914</v>
      </c>
      <c r="B454">
        <v>6</v>
      </c>
      <c r="C454" t="s">
        <v>6</v>
      </c>
      <c r="D454">
        <v>1</v>
      </c>
      <c r="E454">
        <v>2023</v>
      </c>
      <c r="F454">
        <v>6</v>
      </c>
      <c r="G454" t="s">
        <v>6</v>
      </c>
      <c r="H454">
        <v>7.5</v>
      </c>
      <c r="I454">
        <f t="shared" si="7"/>
        <v>7.5</v>
      </c>
    </row>
    <row r="455" spans="1:9" x14ac:dyDescent="0.3">
      <c r="A455">
        <v>914</v>
      </c>
      <c r="B455">
        <v>9</v>
      </c>
      <c r="C455" t="s">
        <v>6</v>
      </c>
      <c r="D455">
        <v>1</v>
      </c>
      <c r="E455">
        <v>2023</v>
      </c>
      <c r="F455">
        <v>9</v>
      </c>
      <c r="G455" t="s">
        <v>6</v>
      </c>
      <c r="H455">
        <v>7.7</v>
      </c>
      <c r="I455">
        <f t="shared" si="7"/>
        <v>7.7</v>
      </c>
    </row>
    <row r="456" spans="1:9" x14ac:dyDescent="0.3">
      <c r="A456">
        <v>915</v>
      </c>
      <c r="B456">
        <v>5</v>
      </c>
      <c r="C456" t="s">
        <v>7</v>
      </c>
      <c r="D456">
        <v>2</v>
      </c>
      <c r="E456">
        <v>2023</v>
      </c>
      <c r="F456">
        <v>5</v>
      </c>
      <c r="G456" t="s">
        <v>7</v>
      </c>
      <c r="H456">
        <v>5.3</v>
      </c>
      <c r="I456">
        <f t="shared" si="7"/>
        <v>10.6</v>
      </c>
    </row>
    <row r="457" spans="1:9" x14ac:dyDescent="0.3">
      <c r="A457">
        <v>917</v>
      </c>
      <c r="B457">
        <v>6</v>
      </c>
      <c r="C457" t="s">
        <v>6</v>
      </c>
      <c r="D457">
        <v>1</v>
      </c>
      <c r="E457">
        <v>2023</v>
      </c>
      <c r="F457">
        <v>6</v>
      </c>
      <c r="G457" t="s">
        <v>6</v>
      </c>
      <c r="H457">
        <v>7.5</v>
      </c>
      <c r="I457">
        <f t="shared" si="7"/>
        <v>7.5</v>
      </c>
    </row>
    <row r="458" spans="1:9" x14ac:dyDescent="0.3">
      <c r="A458">
        <v>917</v>
      </c>
      <c r="B458">
        <v>13</v>
      </c>
      <c r="C458" t="s">
        <v>7</v>
      </c>
      <c r="D458">
        <v>1</v>
      </c>
      <c r="E458">
        <v>2023</v>
      </c>
      <c r="F458">
        <v>13</v>
      </c>
      <c r="G458" t="s">
        <v>7</v>
      </c>
      <c r="H458">
        <v>5.3</v>
      </c>
      <c r="I458">
        <f t="shared" si="7"/>
        <v>5.3</v>
      </c>
    </row>
    <row r="459" spans="1:9" x14ac:dyDescent="0.3">
      <c r="A459">
        <v>920</v>
      </c>
      <c r="B459">
        <v>8</v>
      </c>
      <c r="C459" t="s">
        <v>6</v>
      </c>
      <c r="D459">
        <v>1</v>
      </c>
      <c r="E459">
        <v>2023</v>
      </c>
      <c r="F459">
        <v>8</v>
      </c>
      <c r="G459" t="s">
        <v>6</v>
      </c>
      <c r="H459">
        <v>7.7</v>
      </c>
      <c r="I459">
        <f t="shared" si="7"/>
        <v>7.7</v>
      </c>
    </row>
    <row r="460" spans="1:9" x14ac:dyDescent="0.3">
      <c r="A460">
        <v>920</v>
      </c>
      <c r="B460">
        <v>12</v>
      </c>
      <c r="C460" t="s">
        <v>6</v>
      </c>
      <c r="D460">
        <v>2</v>
      </c>
      <c r="E460">
        <v>2023</v>
      </c>
      <c r="F460">
        <v>12</v>
      </c>
      <c r="G460" t="s">
        <v>6</v>
      </c>
      <c r="H460">
        <v>7.5</v>
      </c>
      <c r="I460">
        <f t="shared" si="7"/>
        <v>15</v>
      </c>
    </row>
    <row r="461" spans="1:9" x14ac:dyDescent="0.3">
      <c r="A461">
        <v>921</v>
      </c>
      <c r="B461">
        <v>2</v>
      </c>
      <c r="C461" t="s">
        <v>6</v>
      </c>
      <c r="D461">
        <v>1</v>
      </c>
      <c r="E461">
        <v>2023</v>
      </c>
      <c r="F461">
        <v>2</v>
      </c>
      <c r="G461" t="s">
        <v>6</v>
      </c>
      <c r="H461">
        <v>6.7</v>
      </c>
      <c r="I461">
        <f t="shared" si="7"/>
        <v>6.7</v>
      </c>
    </row>
    <row r="462" spans="1:9" x14ac:dyDescent="0.3">
      <c r="A462">
        <v>922</v>
      </c>
      <c r="B462">
        <v>4</v>
      </c>
      <c r="C462" t="s">
        <v>7</v>
      </c>
      <c r="D462">
        <v>1</v>
      </c>
      <c r="E462">
        <v>2023</v>
      </c>
      <c r="F462">
        <v>4</v>
      </c>
      <c r="G462" t="s">
        <v>7</v>
      </c>
      <c r="H462">
        <v>4.8</v>
      </c>
      <c r="I462">
        <f t="shared" si="7"/>
        <v>4.8</v>
      </c>
    </row>
    <row r="463" spans="1:9" x14ac:dyDescent="0.3">
      <c r="A463">
        <v>922</v>
      </c>
      <c r="B463">
        <v>12</v>
      </c>
      <c r="C463" t="s">
        <v>7</v>
      </c>
      <c r="D463">
        <v>1</v>
      </c>
      <c r="E463">
        <v>2023</v>
      </c>
      <c r="F463">
        <v>12</v>
      </c>
      <c r="G463" t="s">
        <v>7</v>
      </c>
      <c r="H463">
        <v>5.3</v>
      </c>
      <c r="I463">
        <f t="shared" si="7"/>
        <v>5.3</v>
      </c>
    </row>
    <row r="464" spans="1:9" x14ac:dyDescent="0.3">
      <c r="A464">
        <v>923</v>
      </c>
      <c r="B464">
        <v>1</v>
      </c>
      <c r="C464" t="s">
        <v>9</v>
      </c>
      <c r="D464">
        <v>1</v>
      </c>
      <c r="E464">
        <v>2023</v>
      </c>
      <c r="F464">
        <v>1</v>
      </c>
      <c r="G464" t="s">
        <v>9</v>
      </c>
      <c r="H464">
        <v>9.9</v>
      </c>
      <c r="I464">
        <f t="shared" si="7"/>
        <v>9.9</v>
      </c>
    </row>
    <row r="465" spans="1:9" x14ac:dyDescent="0.3">
      <c r="A465">
        <v>923</v>
      </c>
      <c r="B465">
        <v>8</v>
      </c>
      <c r="C465" t="s">
        <v>6</v>
      </c>
      <c r="D465">
        <v>1</v>
      </c>
      <c r="E465">
        <v>2023</v>
      </c>
      <c r="F465">
        <v>8</v>
      </c>
      <c r="G465" t="s">
        <v>6</v>
      </c>
      <c r="H465">
        <v>7.7</v>
      </c>
      <c r="I465">
        <f t="shared" si="7"/>
        <v>7.7</v>
      </c>
    </row>
    <row r="466" spans="1:9" x14ac:dyDescent="0.3">
      <c r="A466">
        <v>924</v>
      </c>
      <c r="B466">
        <v>5</v>
      </c>
      <c r="C466" t="s">
        <v>6</v>
      </c>
      <c r="D466">
        <v>1</v>
      </c>
      <c r="E466">
        <v>2023</v>
      </c>
      <c r="F466">
        <v>5</v>
      </c>
      <c r="G466" t="s">
        <v>6</v>
      </c>
      <c r="H466">
        <v>7.5</v>
      </c>
      <c r="I466">
        <f t="shared" si="7"/>
        <v>7.5</v>
      </c>
    </row>
    <row r="467" spans="1:9" x14ac:dyDescent="0.3">
      <c r="A467">
        <v>924</v>
      </c>
      <c r="B467">
        <v>10</v>
      </c>
      <c r="C467" t="s">
        <v>6</v>
      </c>
      <c r="D467">
        <v>1</v>
      </c>
      <c r="E467">
        <v>2023</v>
      </c>
      <c r="F467">
        <v>10</v>
      </c>
      <c r="G467" t="s">
        <v>6</v>
      </c>
      <c r="H467">
        <v>7.5</v>
      </c>
      <c r="I467">
        <f t="shared" si="7"/>
        <v>7.5</v>
      </c>
    </row>
    <row r="468" spans="1:9" x14ac:dyDescent="0.3">
      <c r="A468">
        <v>925</v>
      </c>
      <c r="B468">
        <v>4</v>
      </c>
      <c r="C468" t="s">
        <v>7</v>
      </c>
      <c r="D468">
        <v>2</v>
      </c>
      <c r="E468">
        <v>2023</v>
      </c>
      <c r="F468">
        <v>4</v>
      </c>
      <c r="G468" t="s">
        <v>7</v>
      </c>
      <c r="H468">
        <v>4.8</v>
      </c>
      <c r="I468">
        <f t="shared" si="7"/>
        <v>9.6</v>
      </c>
    </row>
    <row r="469" spans="1:9" x14ac:dyDescent="0.3">
      <c r="A469">
        <v>925</v>
      </c>
      <c r="B469">
        <v>9</v>
      </c>
      <c r="C469" t="s">
        <v>6</v>
      </c>
      <c r="D469">
        <v>1</v>
      </c>
      <c r="E469">
        <v>2023</v>
      </c>
      <c r="F469">
        <v>9</v>
      </c>
      <c r="G469" t="s">
        <v>6</v>
      </c>
      <c r="H469">
        <v>7.7</v>
      </c>
      <c r="I469">
        <f t="shared" si="7"/>
        <v>7.7</v>
      </c>
    </row>
    <row r="470" spans="1:9" x14ac:dyDescent="0.3">
      <c r="A470">
        <v>926</v>
      </c>
      <c r="B470">
        <v>3</v>
      </c>
      <c r="C470" t="s">
        <v>7</v>
      </c>
      <c r="D470">
        <v>2</v>
      </c>
      <c r="E470">
        <v>2023</v>
      </c>
      <c r="F470">
        <v>3</v>
      </c>
      <c r="G470" t="s">
        <v>7</v>
      </c>
      <c r="H470">
        <v>5.0999999999999996</v>
      </c>
      <c r="I470">
        <f t="shared" si="7"/>
        <v>10.199999999999999</v>
      </c>
    </row>
    <row r="471" spans="1:9" x14ac:dyDescent="0.3">
      <c r="A471">
        <v>930</v>
      </c>
      <c r="B471">
        <v>2</v>
      </c>
      <c r="C471" t="s">
        <v>7</v>
      </c>
      <c r="D471">
        <v>1</v>
      </c>
      <c r="E471">
        <v>2023</v>
      </c>
      <c r="F471">
        <v>2</v>
      </c>
      <c r="G471" t="s">
        <v>7</v>
      </c>
      <c r="H471">
        <v>5.0999999999999996</v>
      </c>
      <c r="I471">
        <f t="shared" si="7"/>
        <v>5.0999999999999996</v>
      </c>
    </row>
    <row r="472" spans="1:9" x14ac:dyDescent="0.3">
      <c r="A472">
        <v>930</v>
      </c>
      <c r="B472">
        <v>7</v>
      </c>
      <c r="C472" t="s">
        <v>7</v>
      </c>
      <c r="D472">
        <v>3</v>
      </c>
      <c r="E472">
        <v>2023</v>
      </c>
      <c r="F472">
        <v>7</v>
      </c>
      <c r="G472" t="s">
        <v>7</v>
      </c>
      <c r="H472">
        <v>5.3</v>
      </c>
      <c r="I472">
        <f t="shared" si="7"/>
        <v>15.899999999999999</v>
      </c>
    </row>
    <row r="473" spans="1:9" x14ac:dyDescent="0.3">
      <c r="A473">
        <v>931</v>
      </c>
      <c r="B473">
        <v>3</v>
      </c>
      <c r="C473" t="s">
        <v>6</v>
      </c>
      <c r="D473">
        <v>1</v>
      </c>
      <c r="E473">
        <v>2023</v>
      </c>
      <c r="F473">
        <v>3</v>
      </c>
      <c r="G473" t="s">
        <v>6</v>
      </c>
      <c r="H473">
        <v>6.7</v>
      </c>
      <c r="I473">
        <f t="shared" si="7"/>
        <v>6.7</v>
      </c>
    </row>
    <row r="474" spans="1:9" x14ac:dyDescent="0.3">
      <c r="A474">
        <v>931</v>
      </c>
      <c r="B474">
        <v>6</v>
      </c>
      <c r="C474" t="s">
        <v>8</v>
      </c>
      <c r="D474">
        <v>2</v>
      </c>
      <c r="E474">
        <v>2023</v>
      </c>
      <c r="F474">
        <v>6</v>
      </c>
      <c r="G474" t="s">
        <v>8</v>
      </c>
      <c r="H474">
        <v>4.0999999999999996</v>
      </c>
      <c r="I474">
        <f t="shared" si="7"/>
        <v>8.1999999999999993</v>
      </c>
    </row>
    <row r="475" spans="1:9" x14ac:dyDescent="0.3">
      <c r="A475">
        <v>932</v>
      </c>
      <c r="B475">
        <v>4</v>
      </c>
      <c r="C475" t="s">
        <v>7</v>
      </c>
      <c r="D475">
        <v>2</v>
      </c>
      <c r="E475">
        <v>2023</v>
      </c>
      <c r="F475">
        <v>4</v>
      </c>
      <c r="G475" t="s">
        <v>7</v>
      </c>
      <c r="H475">
        <v>4.8</v>
      </c>
      <c r="I475">
        <f t="shared" si="7"/>
        <v>9.6</v>
      </c>
    </row>
    <row r="476" spans="1:9" x14ac:dyDescent="0.3">
      <c r="A476">
        <v>932</v>
      </c>
      <c r="B476">
        <v>10</v>
      </c>
      <c r="C476" t="s">
        <v>6</v>
      </c>
      <c r="D476">
        <v>1</v>
      </c>
      <c r="E476">
        <v>2023</v>
      </c>
      <c r="F476">
        <v>10</v>
      </c>
      <c r="G476" t="s">
        <v>6</v>
      </c>
      <c r="H476">
        <v>7.5</v>
      </c>
      <c r="I476">
        <f t="shared" si="7"/>
        <v>7.5</v>
      </c>
    </row>
    <row r="477" spans="1:9" x14ac:dyDescent="0.3">
      <c r="A477">
        <v>933</v>
      </c>
      <c r="B477">
        <v>9</v>
      </c>
      <c r="C477" t="s">
        <v>6</v>
      </c>
      <c r="D477">
        <v>1</v>
      </c>
      <c r="E477">
        <v>2023</v>
      </c>
      <c r="F477">
        <v>9</v>
      </c>
      <c r="G477" t="s">
        <v>6</v>
      </c>
      <c r="H477">
        <v>7.7</v>
      </c>
      <c r="I477">
        <f t="shared" si="7"/>
        <v>7.7</v>
      </c>
    </row>
    <row r="478" spans="1:9" x14ac:dyDescent="0.3">
      <c r="A478">
        <v>935</v>
      </c>
      <c r="B478">
        <v>11</v>
      </c>
      <c r="C478" t="s">
        <v>8</v>
      </c>
      <c r="D478">
        <v>2</v>
      </c>
      <c r="E478">
        <v>2023</v>
      </c>
      <c r="F478">
        <v>11</v>
      </c>
      <c r="G478" t="s">
        <v>8</v>
      </c>
      <c r="H478">
        <v>4</v>
      </c>
      <c r="I478">
        <f t="shared" si="7"/>
        <v>8</v>
      </c>
    </row>
    <row r="479" spans="1:9" x14ac:dyDescent="0.3">
      <c r="A479">
        <v>938</v>
      </c>
      <c r="B479">
        <v>3</v>
      </c>
      <c r="C479" t="s">
        <v>6</v>
      </c>
      <c r="D479">
        <v>2</v>
      </c>
      <c r="E479">
        <v>2023</v>
      </c>
      <c r="F479">
        <v>3</v>
      </c>
      <c r="G479" t="s">
        <v>6</v>
      </c>
      <c r="H479">
        <v>6.7</v>
      </c>
      <c r="I479">
        <f t="shared" si="7"/>
        <v>13.4</v>
      </c>
    </row>
    <row r="480" spans="1:9" x14ac:dyDescent="0.3">
      <c r="A480">
        <v>938</v>
      </c>
      <c r="B480">
        <v>7</v>
      </c>
      <c r="C480" t="s">
        <v>7</v>
      </c>
      <c r="D480">
        <v>1</v>
      </c>
      <c r="E480">
        <v>2023</v>
      </c>
      <c r="F480">
        <v>7</v>
      </c>
      <c r="G480" t="s">
        <v>7</v>
      </c>
      <c r="H480">
        <v>5.3</v>
      </c>
      <c r="I480">
        <f t="shared" si="7"/>
        <v>5.3</v>
      </c>
    </row>
    <row r="481" spans="1:9" x14ac:dyDescent="0.3">
      <c r="A481">
        <v>939</v>
      </c>
      <c r="B481">
        <v>6</v>
      </c>
      <c r="C481" t="s">
        <v>7</v>
      </c>
      <c r="D481">
        <v>1</v>
      </c>
      <c r="E481">
        <v>2023</v>
      </c>
      <c r="F481">
        <v>6</v>
      </c>
      <c r="G481" t="s">
        <v>7</v>
      </c>
      <c r="H481">
        <v>5.3</v>
      </c>
      <c r="I481">
        <f t="shared" si="7"/>
        <v>5.3</v>
      </c>
    </row>
    <row r="482" spans="1:9" x14ac:dyDescent="0.3">
      <c r="A482">
        <v>940</v>
      </c>
      <c r="B482">
        <v>1</v>
      </c>
      <c r="C482" t="s">
        <v>7</v>
      </c>
      <c r="D482">
        <v>1</v>
      </c>
      <c r="E482">
        <v>2023</v>
      </c>
      <c r="F482">
        <v>1</v>
      </c>
      <c r="G482" t="s">
        <v>7</v>
      </c>
      <c r="H482">
        <v>5.0999999999999996</v>
      </c>
      <c r="I482">
        <f t="shared" si="7"/>
        <v>5.0999999999999996</v>
      </c>
    </row>
    <row r="483" spans="1:9" x14ac:dyDescent="0.3">
      <c r="A483">
        <v>940</v>
      </c>
      <c r="B483">
        <v>12</v>
      </c>
      <c r="C483" t="s">
        <v>6</v>
      </c>
      <c r="D483">
        <v>1</v>
      </c>
      <c r="E483">
        <v>2023</v>
      </c>
      <c r="F483">
        <v>12</v>
      </c>
      <c r="G483" t="s">
        <v>6</v>
      </c>
      <c r="H483">
        <v>7.5</v>
      </c>
      <c r="I483">
        <f t="shared" si="7"/>
        <v>7.5</v>
      </c>
    </row>
    <row r="484" spans="1:9" x14ac:dyDescent="0.3">
      <c r="A484">
        <v>941</v>
      </c>
      <c r="B484">
        <v>9</v>
      </c>
      <c r="C484" t="s">
        <v>6</v>
      </c>
      <c r="D484">
        <v>1</v>
      </c>
      <c r="E484">
        <v>2023</v>
      </c>
      <c r="F484">
        <v>9</v>
      </c>
      <c r="G484" t="s">
        <v>6</v>
      </c>
      <c r="H484">
        <v>7.7</v>
      </c>
      <c r="I484">
        <f t="shared" si="7"/>
        <v>7.7</v>
      </c>
    </row>
    <row r="485" spans="1:9" x14ac:dyDescent="0.3">
      <c r="A485">
        <v>942</v>
      </c>
      <c r="B485">
        <v>10</v>
      </c>
      <c r="C485" t="s">
        <v>6</v>
      </c>
      <c r="D485">
        <v>2</v>
      </c>
      <c r="E485">
        <v>2023</v>
      </c>
      <c r="F485">
        <v>10</v>
      </c>
      <c r="G485" t="s">
        <v>6</v>
      </c>
      <c r="H485">
        <v>7.5</v>
      </c>
      <c r="I485">
        <f t="shared" si="7"/>
        <v>15</v>
      </c>
    </row>
    <row r="486" spans="1:9" x14ac:dyDescent="0.3">
      <c r="A486">
        <v>943</v>
      </c>
      <c r="B486">
        <v>9</v>
      </c>
      <c r="C486" t="s">
        <v>7</v>
      </c>
      <c r="D486">
        <v>1</v>
      </c>
      <c r="E486">
        <v>2023</v>
      </c>
      <c r="F486">
        <v>9</v>
      </c>
      <c r="G486" t="s">
        <v>7</v>
      </c>
      <c r="H486">
        <v>5.2</v>
      </c>
      <c r="I486">
        <f t="shared" si="7"/>
        <v>5.2</v>
      </c>
    </row>
    <row r="487" spans="1:9" x14ac:dyDescent="0.3">
      <c r="A487">
        <v>945</v>
      </c>
      <c r="B487">
        <v>4</v>
      </c>
      <c r="C487" t="s">
        <v>7</v>
      </c>
      <c r="D487">
        <v>1</v>
      </c>
      <c r="E487">
        <v>2023</v>
      </c>
      <c r="F487">
        <v>4</v>
      </c>
      <c r="G487" t="s">
        <v>7</v>
      </c>
      <c r="H487">
        <v>4.8</v>
      </c>
      <c r="I487">
        <f t="shared" si="7"/>
        <v>4.8</v>
      </c>
    </row>
    <row r="488" spans="1:9" x14ac:dyDescent="0.3">
      <c r="A488">
        <v>945</v>
      </c>
      <c r="B488">
        <v>8</v>
      </c>
      <c r="C488" t="s">
        <v>6</v>
      </c>
      <c r="D488">
        <v>1</v>
      </c>
      <c r="E488">
        <v>2023</v>
      </c>
      <c r="F488">
        <v>8</v>
      </c>
      <c r="G488" t="s">
        <v>6</v>
      </c>
      <c r="H488">
        <v>7.7</v>
      </c>
      <c r="I488">
        <f t="shared" si="7"/>
        <v>7.7</v>
      </c>
    </row>
    <row r="489" spans="1:9" x14ac:dyDescent="0.3">
      <c r="A489">
        <v>946</v>
      </c>
      <c r="B489">
        <v>10</v>
      </c>
      <c r="C489" t="s">
        <v>6</v>
      </c>
      <c r="D489">
        <v>1</v>
      </c>
      <c r="E489">
        <v>2023</v>
      </c>
      <c r="F489">
        <v>10</v>
      </c>
      <c r="G489" t="s">
        <v>6</v>
      </c>
      <c r="H489">
        <v>7.5</v>
      </c>
      <c r="I489">
        <f t="shared" si="7"/>
        <v>7.5</v>
      </c>
    </row>
    <row r="490" spans="1:9" x14ac:dyDescent="0.3">
      <c r="A490">
        <v>947</v>
      </c>
      <c r="B490">
        <v>1</v>
      </c>
      <c r="C490" t="s">
        <v>8</v>
      </c>
      <c r="D490">
        <v>2</v>
      </c>
      <c r="E490">
        <v>2023</v>
      </c>
      <c r="F490">
        <v>1</v>
      </c>
      <c r="G490" t="s">
        <v>8</v>
      </c>
      <c r="H490">
        <v>3.9</v>
      </c>
      <c r="I490">
        <f t="shared" si="7"/>
        <v>7.8</v>
      </c>
    </row>
    <row r="491" spans="1:9" x14ac:dyDescent="0.3">
      <c r="A491">
        <v>947</v>
      </c>
      <c r="B491">
        <v>9</v>
      </c>
      <c r="C491" t="s">
        <v>6</v>
      </c>
      <c r="D491">
        <v>1</v>
      </c>
      <c r="E491">
        <v>2023</v>
      </c>
      <c r="F491">
        <v>9</v>
      </c>
      <c r="G491" t="s">
        <v>6</v>
      </c>
      <c r="H491">
        <v>7.7</v>
      </c>
      <c r="I491">
        <f t="shared" si="7"/>
        <v>7.7</v>
      </c>
    </row>
    <row r="492" spans="1:9" x14ac:dyDescent="0.3">
      <c r="A492">
        <v>948</v>
      </c>
      <c r="B492">
        <v>2</v>
      </c>
      <c r="C492" t="s">
        <v>7</v>
      </c>
      <c r="D492">
        <v>1</v>
      </c>
      <c r="E492">
        <v>2023</v>
      </c>
      <c r="F492">
        <v>2</v>
      </c>
      <c r="G492" t="s">
        <v>7</v>
      </c>
      <c r="H492">
        <v>5.0999999999999996</v>
      </c>
      <c r="I492">
        <f t="shared" si="7"/>
        <v>5.0999999999999996</v>
      </c>
    </row>
    <row r="493" spans="1:9" x14ac:dyDescent="0.3">
      <c r="A493">
        <v>948</v>
      </c>
      <c r="B493">
        <v>10</v>
      </c>
      <c r="C493" t="s">
        <v>7</v>
      </c>
      <c r="D493">
        <v>2</v>
      </c>
      <c r="E493">
        <v>2023</v>
      </c>
      <c r="F493">
        <v>10</v>
      </c>
      <c r="G493" t="s">
        <v>7</v>
      </c>
      <c r="H493">
        <v>5.3</v>
      </c>
      <c r="I493">
        <f t="shared" si="7"/>
        <v>10.6</v>
      </c>
    </row>
    <row r="494" spans="1:9" x14ac:dyDescent="0.3">
      <c r="A494">
        <v>950</v>
      </c>
      <c r="B494">
        <v>1</v>
      </c>
      <c r="C494" t="s">
        <v>6</v>
      </c>
      <c r="D494">
        <v>1</v>
      </c>
      <c r="E494">
        <v>2023</v>
      </c>
      <c r="F494">
        <v>1</v>
      </c>
      <c r="G494" t="s">
        <v>6</v>
      </c>
      <c r="H494">
        <v>6.7</v>
      </c>
      <c r="I494">
        <f t="shared" si="7"/>
        <v>6.7</v>
      </c>
    </row>
    <row r="495" spans="1:9" x14ac:dyDescent="0.3">
      <c r="A495">
        <v>951</v>
      </c>
      <c r="B495">
        <v>2</v>
      </c>
      <c r="C495" t="s">
        <v>7</v>
      </c>
      <c r="D495">
        <v>1</v>
      </c>
      <c r="E495">
        <v>2023</v>
      </c>
      <c r="F495">
        <v>2</v>
      </c>
      <c r="G495" t="s">
        <v>7</v>
      </c>
      <c r="H495">
        <v>5.0999999999999996</v>
      </c>
      <c r="I495">
        <f t="shared" si="7"/>
        <v>5.0999999999999996</v>
      </c>
    </row>
    <row r="496" spans="1:9" x14ac:dyDescent="0.3">
      <c r="A496">
        <v>951</v>
      </c>
      <c r="B496">
        <v>4</v>
      </c>
      <c r="C496" t="s">
        <v>6</v>
      </c>
      <c r="D496">
        <v>3</v>
      </c>
      <c r="E496">
        <v>2023</v>
      </c>
      <c r="F496">
        <v>4</v>
      </c>
      <c r="G496" t="s">
        <v>6</v>
      </c>
      <c r="H496">
        <v>6.7</v>
      </c>
      <c r="I496">
        <f t="shared" si="7"/>
        <v>20.100000000000001</v>
      </c>
    </row>
    <row r="497" spans="1:9" x14ac:dyDescent="0.3">
      <c r="A497">
        <v>952</v>
      </c>
      <c r="B497">
        <v>6</v>
      </c>
      <c r="C497" t="s">
        <v>6</v>
      </c>
      <c r="D497">
        <v>1</v>
      </c>
      <c r="E497">
        <v>2023</v>
      </c>
      <c r="F497">
        <v>6</v>
      </c>
      <c r="G497" t="s">
        <v>6</v>
      </c>
      <c r="H497">
        <v>7.5</v>
      </c>
      <c r="I497">
        <f t="shared" si="7"/>
        <v>7.5</v>
      </c>
    </row>
    <row r="498" spans="1:9" x14ac:dyDescent="0.3">
      <c r="A498">
        <v>954</v>
      </c>
      <c r="B498">
        <v>5</v>
      </c>
      <c r="C498" t="s">
        <v>9</v>
      </c>
      <c r="D498">
        <v>2</v>
      </c>
      <c r="E498">
        <v>2023</v>
      </c>
      <c r="F498">
        <v>5</v>
      </c>
      <c r="G498" t="s">
        <v>9</v>
      </c>
      <c r="H498">
        <v>8.9</v>
      </c>
      <c r="I498">
        <f t="shared" si="7"/>
        <v>17.8</v>
      </c>
    </row>
    <row r="499" spans="1:9" x14ac:dyDescent="0.3">
      <c r="A499">
        <v>954</v>
      </c>
      <c r="B499">
        <v>6</v>
      </c>
      <c r="C499" t="s">
        <v>7</v>
      </c>
      <c r="D499">
        <v>1</v>
      </c>
      <c r="E499">
        <v>2023</v>
      </c>
      <c r="F499">
        <v>6</v>
      </c>
      <c r="G499" t="s">
        <v>7</v>
      </c>
      <c r="H499">
        <v>5.3</v>
      </c>
      <c r="I499">
        <f t="shared" si="7"/>
        <v>5.3</v>
      </c>
    </row>
    <row r="500" spans="1:9" x14ac:dyDescent="0.3">
      <c r="A500">
        <v>956</v>
      </c>
      <c r="B500">
        <v>7</v>
      </c>
      <c r="C500" t="s">
        <v>7</v>
      </c>
      <c r="D500">
        <v>1</v>
      </c>
      <c r="E500">
        <v>2023</v>
      </c>
      <c r="F500">
        <v>7</v>
      </c>
      <c r="G500" t="s">
        <v>7</v>
      </c>
      <c r="H500">
        <v>5.3</v>
      </c>
      <c r="I500">
        <f t="shared" si="7"/>
        <v>5.3</v>
      </c>
    </row>
    <row r="501" spans="1:9" x14ac:dyDescent="0.3">
      <c r="A501">
        <v>957</v>
      </c>
      <c r="B501">
        <v>7</v>
      </c>
      <c r="C501" t="s">
        <v>7</v>
      </c>
      <c r="D501">
        <v>2</v>
      </c>
      <c r="E501">
        <v>2023</v>
      </c>
      <c r="F501">
        <v>7</v>
      </c>
      <c r="G501" t="s">
        <v>7</v>
      </c>
      <c r="H501">
        <v>5.3</v>
      </c>
      <c r="I501">
        <f t="shared" si="7"/>
        <v>10.6</v>
      </c>
    </row>
    <row r="502" spans="1:9" x14ac:dyDescent="0.3">
      <c r="A502">
        <v>957</v>
      </c>
      <c r="B502">
        <v>11</v>
      </c>
      <c r="C502" t="s">
        <v>7</v>
      </c>
      <c r="D502">
        <v>1</v>
      </c>
      <c r="E502">
        <v>2023</v>
      </c>
      <c r="F502">
        <v>11</v>
      </c>
      <c r="G502" t="s">
        <v>7</v>
      </c>
      <c r="H502">
        <v>5.3</v>
      </c>
      <c r="I502">
        <f t="shared" si="7"/>
        <v>5.3</v>
      </c>
    </row>
    <row r="503" spans="1:9" x14ac:dyDescent="0.3">
      <c r="A503">
        <v>958</v>
      </c>
      <c r="B503">
        <v>5</v>
      </c>
      <c r="C503" t="s">
        <v>6</v>
      </c>
      <c r="D503">
        <v>1</v>
      </c>
      <c r="E503">
        <v>2023</v>
      </c>
      <c r="F503">
        <v>5</v>
      </c>
      <c r="G503" t="s">
        <v>6</v>
      </c>
      <c r="H503">
        <v>7.5</v>
      </c>
      <c r="I503">
        <f t="shared" si="7"/>
        <v>7.5</v>
      </c>
    </row>
    <row r="504" spans="1:9" x14ac:dyDescent="0.3">
      <c r="A504">
        <v>958</v>
      </c>
      <c r="B504">
        <v>6</v>
      </c>
      <c r="C504" t="s">
        <v>7</v>
      </c>
      <c r="D504">
        <v>1</v>
      </c>
      <c r="E504">
        <v>2023</v>
      </c>
      <c r="F504">
        <v>6</v>
      </c>
      <c r="G504" t="s">
        <v>7</v>
      </c>
      <c r="H504">
        <v>5.3</v>
      </c>
      <c r="I504">
        <f t="shared" si="7"/>
        <v>5.3</v>
      </c>
    </row>
    <row r="505" spans="1:9" x14ac:dyDescent="0.3">
      <c r="A505">
        <v>959</v>
      </c>
      <c r="B505">
        <v>8</v>
      </c>
      <c r="C505" t="s">
        <v>6</v>
      </c>
      <c r="D505">
        <v>1</v>
      </c>
      <c r="E505">
        <v>2023</v>
      </c>
      <c r="F505">
        <v>8</v>
      </c>
      <c r="G505" t="s">
        <v>6</v>
      </c>
      <c r="H505">
        <v>7.7</v>
      </c>
      <c r="I505">
        <f t="shared" si="7"/>
        <v>7.7</v>
      </c>
    </row>
    <row r="506" spans="1:9" x14ac:dyDescent="0.3">
      <c r="A506">
        <v>961</v>
      </c>
      <c r="B506">
        <v>2</v>
      </c>
      <c r="C506" t="s">
        <v>6</v>
      </c>
      <c r="D506">
        <v>1</v>
      </c>
      <c r="E506">
        <v>2023</v>
      </c>
      <c r="F506">
        <v>2</v>
      </c>
      <c r="G506" t="s">
        <v>6</v>
      </c>
      <c r="H506">
        <v>6.7</v>
      </c>
      <c r="I506">
        <f t="shared" si="7"/>
        <v>6.7</v>
      </c>
    </row>
    <row r="507" spans="1:9" x14ac:dyDescent="0.3">
      <c r="A507">
        <v>961</v>
      </c>
      <c r="B507">
        <v>12</v>
      </c>
      <c r="C507" t="s">
        <v>7</v>
      </c>
      <c r="D507">
        <v>1</v>
      </c>
      <c r="E507">
        <v>2023</v>
      </c>
      <c r="F507">
        <v>12</v>
      </c>
      <c r="G507" t="s">
        <v>7</v>
      </c>
      <c r="H507">
        <v>5.3</v>
      </c>
      <c r="I507">
        <f t="shared" si="7"/>
        <v>5.3</v>
      </c>
    </row>
    <row r="508" spans="1:9" x14ac:dyDescent="0.3">
      <c r="A508">
        <v>962</v>
      </c>
      <c r="B508">
        <v>1</v>
      </c>
      <c r="C508" t="s">
        <v>6</v>
      </c>
      <c r="D508">
        <v>1</v>
      </c>
      <c r="E508">
        <v>2023</v>
      </c>
      <c r="F508">
        <v>1</v>
      </c>
      <c r="G508" t="s">
        <v>6</v>
      </c>
      <c r="H508">
        <v>6.7</v>
      </c>
      <c r="I508">
        <f t="shared" si="7"/>
        <v>6.7</v>
      </c>
    </row>
    <row r="509" spans="1:9" x14ac:dyDescent="0.3">
      <c r="A509">
        <v>962</v>
      </c>
      <c r="B509">
        <v>4</v>
      </c>
      <c r="C509" t="s">
        <v>7</v>
      </c>
      <c r="D509">
        <v>1</v>
      </c>
      <c r="E509">
        <v>2023</v>
      </c>
      <c r="F509">
        <v>4</v>
      </c>
      <c r="G509" t="s">
        <v>7</v>
      </c>
      <c r="H509">
        <v>4.8</v>
      </c>
      <c r="I509">
        <f t="shared" si="7"/>
        <v>4.8</v>
      </c>
    </row>
    <row r="510" spans="1:9" x14ac:dyDescent="0.3">
      <c r="A510">
        <v>963</v>
      </c>
      <c r="B510">
        <v>8</v>
      </c>
      <c r="C510" t="s">
        <v>6</v>
      </c>
      <c r="D510">
        <v>1</v>
      </c>
      <c r="E510">
        <v>2023</v>
      </c>
      <c r="F510">
        <v>8</v>
      </c>
      <c r="G510" t="s">
        <v>6</v>
      </c>
      <c r="H510">
        <v>7.7</v>
      </c>
      <c r="I510">
        <f t="shared" si="7"/>
        <v>7.7</v>
      </c>
    </row>
    <row r="511" spans="1:9" x14ac:dyDescent="0.3">
      <c r="A511">
        <v>964</v>
      </c>
      <c r="B511">
        <v>5</v>
      </c>
      <c r="C511" t="s">
        <v>6</v>
      </c>
      <c r="D511">
        <v>1</v>
      </c>
      <c r="E511">
        <v>2023</v>
      </c>
      <c r="F511">
        <v>5</v>
      </c>
      <c r="G511" t="s">
        <v>6</v>
      </c>
      <c r="H511">
        <v>7.5</v>
      </c>
      <c r="I511">
        <f t="shared" si="7"/>
        <v>7.5</v>
      </c>
    </row>
    <row r="512" spans="1:9" x14ac:dyDescent="0.3">
      <c r="A512">
        <v>966</v>
      </c>
      <c r="B512">
        <v>4</v>
      </c>
      <c r="C512" t="s">
        <v>7</v>
      </c>
      <c r="D512">
        <v>2</v>
      </c>
      <c r="E512">
        <v>2023</v>
      </c>
      <c r="F512">
        <v>4</v>
      </c>
      <c r="G512" t="s">
        <v>7</v>
      </c>
      <c r="H512">
        <v>4.8</v>
      </c>
      <c r="I512">
        <f t="shared" si="7"/>
        <v>9.6</v>
      </c>
    </row>
    <row r="513" spans="1:9" x14ac:dyDescent="0.3">
      <c r="A513">
        <v>966</v>
      </c>
      <c r="B513">
        <v>9</v>
      </c>
      <c r="C513" t="s">
        <v>6</v>
      </c>
      <c r="D513">
        <v>1</v>
      </c>
      <c r="E513">
        <v>2023</v>
      </c>
      <c r="F513">
        <v>9</v>
      </c>
      <c r="G513" t="s">
        <v>6</v>
      </c>
      <c r="H513">
        <v>7.7</v>
      </c>
      <c r="I513">
        <f t="shared" si="7"/>
        <v>7.7</v>
      </c>
    </row>
    <row r="514" spans="1:9" x14ac:dyDescent="0.3">
      <c r="A514">
        <v>967</v>
      </c>
      <c r="B514">
        <v>3</v>
      </c>
      <c r="C514" t="s">
        <v>7</v>
      </c>
      <c r="D514">
        <v>2</v>
      </c>
      <c r="E514">
        <v>2023</v>
      </c>
      <c r="F514">
        <v>3</v>
      </c>
      <c r="G514" t="s">
        <v>7</v>
      </c>
      <c r="H514">
        <v>5.0999999999999996</v>
      </c>
      <c r="I514">
        <f t="shared" si="7"/>
        <v>10.199999999999999</v>
      </c>
    </row>
    <row r="515" spans="1:9" x14ac:dyDescent="0.3">
      <c r="A515">
        <v>968</v>
      </c>
      <c r="B515">
        <v>12</v>
      </c>
      <c r="C515" t="s">
        <v>7</v>
      </c>
      <c r="D515">
        <v>1</v>
      </c>
      <c r="E515">
        <v>2023</v>
      </c>
      <c r="F515">
        <v>12</v>
      </c>
      <c r="G515" t="s">
        <v>7</v>
      </c>
      <c r="H515">
        <v>5.3</v>
      </c>
      <c r="I515">
        <f t="shared" ref="I515:I578" si="8">D515*H515</f>
        <v>5.3</v>
      </c>
    </row>
    <row r="516" spans="1:9" x14ac:dyDescent="0.3">
      <c r="A516">
        <v>969</v>
      </c>
      <c r="B516">
        <v>7</v>
      </c>
      <c r="C516" t="s">
        <v>6</v>
      </c>
      <c r="D516">
        <v>3</v>
      </c>
      <c r="E516">
        <v>2023</v>
      </c>
      <c r="F516">
        <v>7</v>
      </c>
      <c r="G516" t="s">
        <v>6</v>
      </c>
      <c r="H516">
        <v>7.5</v>
      </c>
      <c r="I516">
        <f t="shared" si="8"/>
        <v>22.5</v>
      </c>
    </row>
    <row r="517" spans="1:9" x14ac:dyDescent="0.3">
      <c r="A517">
        <v>969</v>
      </c>
      <c r="B517">
        <v>13</v>
      </c>
      <c r="C517" t="s">
        <v>6</v>
      </c>
      <c r="D517">
        <v>1</v>
      </c>
      <c r="E517">
        <v>2023</v>
      </c>
      <c r="F517">
        <v>13</v>
      </c>
      <c r="G517" t="s">
        <v>6</v>
      </c>
      <c r="H517">
        <v>7.5</v>
      </c>
      <c r="I517">
        <f t="shared" si="8"/>
        <v>7.5</v>
      </c>
    </row>
    <row r="518" spans="1:9" x14ac:dyDescent="0.3">
      <c r="A518">
        <v>971</v>
      </c>
      <c r="B518">
        <v>2</v>
      </c>
      <c r="C518" t="s">
        <v>7</v>
      </c>
      <c r="D518">
        <v>5</v>
      </c>
      <c r="E518">
        <v>2023</v>
      </c>
      <c r="F518">
        <v>2</v>
      </c>
      <c r="G518" t="s">
        <v>7</v>
      </c>
      <c r="H518">
        <v>5.0999999999999996</v>
      </c>
      <c r="I518">
        <f t="shared" si="8"/>
        <v>25.5</v>
      </c>
    </row>
    <row r="519" spans="1:9" x14ac:dyDescent="0.3">
      <c r="A519">
        <v>972</v>
      </c>
      <c r="B519">
        <v>3</v>
      </c>
      <c r="C519" t="s">
        <v>6</v>
      </c>
      <c r="D519">
        <v>3</v>
      </c>
      <c r="E519">
        <v>2023</v>
      </c>
      <c r="F519">
        <v>3</v>
      </c>
      <c r="G519" t="s">
        <v>6</v>
      </c>
      <c r="H519">
        <v>6.7</v>
      </c>
      <c r="I519">
        <f t="shared" si="8"/>
        <v>20.100000000000001</v>
      </c>
    </row>
    <row r="520" spans="1:9" x14ac:dyDescent="0.3">
      <c r="A520">
        <v>972</v>
      </c>
      <c r="B520">
        <v>7</v>
      </c>
      <c r="C520" t="s">
        <v>7</v>
      </c>
      <c r="D520">
        <v>1</v>
      </c>
      <c r="E520">
        <v>2023</v>
      </c>
      <c r="F520">
        <v>7</v>
      </c>
      <c r="G520" t="s">
        <v>7</v>
      </c>
      <c r="H520">
        <v>5.3</v>
      </c>
      <c r="I520">
        <f t="shared" si="8"/>
        <v>5.3</v>
      </c>
    </row>
    <row r="521" spans="1:9" x14ac:dyDescent="0.3">
      <c r="A521">
        <v>973</v>
      </c>
      <c r="B521">
        <v>4</v>
      </c>
      <c r="C521" t="s">
        <v>7</v>
      </c>
      <c r="D521">
        <v>2</v>
      </c>
      <c r="E521">
        <v>2023</v>
      </c>
      <c r="F521">
        <v>4</v>
      </c>
      <c r="G521" t="s">
        <v>7</v>
      </c>
      <c r="H521">
        <v>4.8</v>
      </c>
      <c r="I521">
        <f t="shared" si="8"/>
        <v>9.6</v>
      </c>
    </row>
    <row r="522" spans="1:9" x14ac:dyDescent="0.3">
      <c r="A522">
        <v>973</v>
      </c>
      <c r="B522">
        <v>8</v>
      </c>
      <c r="C522" t="s">
        <v>7</v>
      </c>
      <c r="D522">
        <v>2</v>
      </c>
      <c r="E522">
        <v>2023</v>
      </c>
      <c r="F522">
        <v>8</v>
      </c>
      <c r="G522" t="s">
        <v>7</v>
      </c>
      <c r="H522">
        <v>5.2</v>
      </c>
      <c r="I522">
        <f t="shared" si="8"/>
        <v>10.4</v>
      </c>
    </row>
    <row r="523" spans="1:9" x14ac:dyDescent="0.3">
      <c r="A523">
        <v>974</v>
      </c>
      <c r="B523">
        <v>7</v>
      </c>
      <c r="C523" t="s">
        <v>6</v>
      </c>
      <c r="D523">
        <v>3</v>
      </c>
      <c r="E523">
        <v>2023</v>
      </c>
      <c r="F523">
        <v>7</v>
      </c>
      <c r="G523" t="s">
        <v>6</v>
      </c>
      <c r="H523">
        <v>7.5</v>
      </c>
      <c r="I523">
        <f t="shared" si="8"/>
        <v>22.5</v>
      </c>
    </row>
    <row r="524" spans="1:9" x14ac:dyDescent="0.3">
      <c r="A524">
        <v>974</v>
      </c>
      <c r="B524">
        <v>11</v>
      </c>
      <c r="C524" t="s">
        <v>6</v>
      </c>
      <c r="D524">
        <v>1</v>
      </c>
      <c r="E524">
        <v>2023</v>
      </c>
      <c r="F524">
        <v>11</v>
      </c>
      <c r="G524" t="s">
        <v>6</v>
      </c>
      <c r="H524">
        <v>7.5</v>
      </c>
      <c r="I524">
        <f t="shared" si="8"/>
        <v>7.5</v>
      </c>
    </row>
    <row r="525" spans="1:9" x14ac:dyDescent="0.3">
      <c r="A525">
        <v>976</v>
      </c>
      <c r="B525">
        <v>2</v>
      </c>
      <c r="C525" t="s">
        <v>7</v>
      </c>
      <c r="D525">
        <v>5</v>
      </c>
      <c r="E525">
        <v>2023</v>
      </c>
      <c r="F525">
        <v>2</v>
      </c>
      <c r="G525" t="s">
        <v>7</v>
      </c>
      <c r="H525">
        <v>5.0999999999999996</v>
      </c>
      <c r="I525">
        <f t="shared" si="8"/>
        <v>25.5</v>
      </c>
    </row>
    <row r="526" spans="1:9" x14ac:dyDescent="0.3">
      <c r="A526">
        <v>977</v>
      </c>
      <c r="B526">
        <v>3</v>
      </c>
      <c r="C526" t="s">
        <v>6</v>
      </c>
      <c r="D526">
        <v>3</v>
      </c>
      <c r="E526">
        <v>2023</v>
      </c>
      <c r="F526">
        <v>3</v>
      </c>
      <c r="G526" t="s">
        <v>6</v>
      </c>
      <c r="H526">
        <v>6.7</v>
      </c>
      <c r="I526">
        <f t="shared" si="8"/>
        <v>20.100000000000001</v>
      </c>
    </row>
    <row r="527" spans="1:9" x14ac:dyDescent="0.3">
      <c r="A527">
        <v>977</v>
      </c>
      <c r="B527">
        <v>7</v>
      </c>
      <c r="C527" t="s">
        <v>7</v>
      </c>
      <c r="D527">
        <v>1</v>
      </c>
      <c r="E527">
        <v>2023</v>
      </c>
      <c r="F527">
        <v>7</v>
      </c>
      <c r="G527" t="s">
        <v>7</v>
      </c>
      <c r="H527">
        <v>5.3</v>
      </c>
      <c r="I527">
        <f t="shared" si="8"/>
        <v>5.3</v>
      </c>
    </row>
    <row r="528" spans="1:9" x14ac:dyDescent="0.3">
      <c r="A528">
        <v>978</v>
      </c>
      <c r="B528">
        <v>6</v>
      </c>
      <c r="C528" t="s">
        <v>7</v>
      </c>
      <c r="D528">
        <v>1</v>
      </c>
      <c r="E528">
        <v>2023</v>
      </c>
      <c r="F528">
        <v>6</v>
      </c>
      <c r="G528" t="s">
        <v>7</v>
      </c>
      <c r="H528">
        <v>5.3</v>
      </c>
      <c r="I528">
        <f t="shared" si="8"/>
        <v>5.3</v>
      </c>
    </row>
    <row r="529" spans="1:9" x14ac:dyDescent="0.3">
      <c r="A529">
        <v>980</v>
      </c>
      <c r="B529">
        <v>12</v>
      </c>
      <c r="C529" t="s">
        <v>6</v>
      </c>
      <c r="D529">
        <v>1</v>
      </c>
      <c r="E529">
        <v>2023</v>
      </c>
      <c r="F529">
        <v>12</v>
      </c>
      <c r="G529" t="s">
        <v>6</v>
      </c>
      <c r="H529">
        <v>7.5</v>
      </c>
      <c r="I529">
        <f t="shared" si="8"/>
        <v>7.5</v>
      </c>
    </row>
    <row r="530" spans="1:9" x14ac:dyDescent="0.3">
      <c r="A530">
        <v>981</v>
      </c>
      <c r="B530">
        <v>9</v>
      </c>
      <c r="C530" t="s">
        <v>6</v>
      </c>
      <c r="D530">
        <v>1</v>
      </c>
      <c r="E530">
        <v>2023</v>
      </c>
      <c r="F530">
        <v>9</v>
      </c>
      <c r="G530" t="s">
        <v>6</v>
      </c>
      <c r="H530">
        <v>7.7</v>
      </c>
      <c r="I530">
        <f t="shared" si="8"/>
        <v>7.7</v>
      </c>
    </row>
    <row r="531" spans="1:9" x14ac:dyDescent="0.3">
      <c r="A531">
        <v>981</v>
      </c>
      <c r="B531">
        <v>10</v>
      </c>
      <c r="C531" t="s">
        <v>6</v>
      </c>
      <c r="D531">
        <v>1</v>
      </c>
      <c r="E531">
        <v>2023</v>
      </c>
      <c r="F531">
        <v>10</v>
      </c>
      <c r="G531" t="s">
        <v>6</v>
      </c>
      <c r="H531">
        <v>7.5</v>
      </c>
      <c r="I531">
        <f t="shared" si="8"/>
        <v>7.5</v>
      </c>
    </row>
    <row r="532" spans="1:9" x14ac:dyDescent="0.3">
      <c r="A532">
        <v>982</v>
      </c>
      <c r="B532">
        <v>9</v>
      </c>
      <c r="C532" t="s">
        <v>7</v>
      </c>
      <c r="D532">
        <v>3</v>
      </c>
      <c r="E532">
        <v>2023</v>
      </c>
      <c r="F532">
        <v>9</v>
      </c>
      <c r="G532" t="s">
        <v>7</v>
      </c>
      <c r="H532">
        <v>5.2</v>
      </c>
      <c r="I532">
        <f t="shared" si="8"/>
        <v>15.600000000000001</v>
      </c>
    </row>
    <row r="533" spans="1:9" x14ac:dyDescent="0.3">
      <c r="A533">
        <v>983</v>
      </c>
      <c r="B533">
        <v>7</v>
      </c>
      <c r="C533" t="s">
        <v>6</v>
      </c>
      <c r="D533">
        <v>1</v>
      </c>
      <c r="E533">
        <v>2023</v>
      </c>
      <c r="F533">
        <v>7</v>
      </c>
      <c r="G533" t="s">
        <v>6</v>
      </c>
      <c r="H533">
        <v>7.5</v>
      </c>
      <c r="I533">
        <f t="shared" si="8"/>
        <v>7.5</v>
      </c>
    </row>
    <row r="534" spans="1:9" x14ac:dyDescent="0.3">
      <c r="A534">
        <v>985</v>
      </c>
      <c r="B534">
        <v>8</v>
      </c>
      <c r="C534" t="s">
        <v>6</v>
      </c>
      <c r="D534">
        <v>2</v>
      </c>
      <c r="E534">
        <v>2023</v>
      </c>
      <c r="F534">
        <v>8</v>
      </c>
      <c r="G534" t="s">
        <v>6</v>
      </c>
      <c r="H534">
        <v>7.7</v>
      </c>
      <c r="I534">
        <f t="shared" si="8"/>
        <v>15.4</v>
      </c>
    </row>
    <row r="535" spans="1:9" x14ac:dyDescent="0.3">
      <c r="A535">
        <v>986</v>
      </c>
      <c r="B535">
        <v>10</v>
      </c>
      <c r="C535" t="s">
        <v>6</v>
      </c>
      <c r="D535">
        <v>1</v>
      </c>
      <c r="E535">
        <v>2023</v>
      </c>
      <c r="F535">
        <v>10</v>
      </c>
      <c r="G535" t="s">
        <v>6</v>
      </c>
      <c r="H535">
        <v>7.5</v>
      </c>
      <c r="I535">
        <f t="shared" si="8"/>
        <v>7.5</v>
      </c>
    </row>
    <row r="536" spans="1:9" x14ac:dyDescent="0.3">
      <c r="A536">
        <v>987</v>
      </c>
      <c r="B536">
        <v>1</v>
      </c>
      <c r="C536" t="s">
        <v>7</v>
      </c>
      <c r="D536">
        <v>1</v>
      </c>
      <c r="E536">
        <v>2023</v>
      </c>
      <c r="F536">
        <v>1</v>
      </c>
      <c r="G536" t="s">
        <v>7</v>
      </c>
      <c r="H536">
        <v>5.0999999999999996</v>
      </c>
      <c r="I536">
        <f t="shared" si="8"/>
        <v>5.0999999999999996</v>
      </c>
    </row>
    <row r="537" spans="1:9" x14ac:dyDescent="0.3">
      <c r="A537">
        <v>987</v>
      </c>
      <c r="B537">
        <v>9</v>
      </c>
      <c r="C537" t="s">
        <v>6</v>
      </c>
      <c r="D537">
        <v>2</v>
      </c>
      <c r="E537">
        <v>2023</v>
      </c>
      <c r="F537">
        <v>9</v>
      </c>
      <c r="G537" t="s">
        <v>6</v>
      </c>
      <c r="H537">
        <v>7.7</v>
      </c>
      <c r="I537">
        <f t="shared" si="8"/>
        <v>15.4</v>
      </c>
    </row>
    <row r="538" spans="1:9" x14ac:dyDescent="0.3">
      <c r="A538">
        <v>988</v>
      </c>
      <c r="B538">
        <v>2</v>
      </c>
      <c r="C538" t="s">
        <v>7</v>
      </c>
      <c r="D538">
        <v>1</v>
      </c>
      <c r="E538">
        <v>2023</v>
      </c>
      <c r="F538">
        <v>2</v>
      </c>
      <c r="G538" t="s">
        <v>7</v>
      </c>
      <c r="H538">
        <v>5.0999999999999996</v>
      </c>
      <c r="I538">
        <f t="shared" si="8"/>
        <v>5.0999999999999996</v>
      </c>
    </row>
    <row r="539" spans="1:9" x14ac:dyDescent="0.3">
      <c r="A539">
        <v>989</v>
      </c>
      <c r="B539">
        <v>10</v>
      </c>
      <c r="C539" t="s">
        <v>7</v>
      </c>
      <c r="D539">
        <v>4</v>
      </c>
      <c r="E539">
        <v>2023</v>
      </c>
      <c r="F539">
        <v>10</v>
      </c>
      <c r="G539" t="s">
        <v>7</v>
      </c>
      <c r="H539">
        <v>5.3</v>
      </c>
      <c r="I539">
        <f t="shared" si="8"/>
        <v>21.2</v>
      </c>
    </row>
    <row r="540" spans="1:9" x14ac:dyDescent="0.3">
      <c r="A540">
        <v>990</v>
      </c>
      <c r="B540">
        <v>1</v>
      </c>
      <c r="C540" t="s">
        <v>6</v>
      </c>
      <c r="D540">
        <v>1</v>
      </c>
      <c r="E540">
        <v>2023</v>
      </c>
      <c r="F540">
        <v>1</v>
      </c>
      <c r="G540" t="s">
        <v>6</v>
      </c>
      <c r="H540">
        <v>6.7</v>
      </c>
      <c r="I540">
        <f t="shared" si="8"/>
        <v>6.7</v>
      </c>
    </row>
    <row r="541" spans="1:9" x14ac:dyDescent="0.3">
      <c r="A541">
        <v>990</v>
      </c>
      <c r="B541">
        <v>5</v>
      </c>
      <c r="C541" t="s">
        <v>7</v>
      </c>
      <c r="D541">
        <v>1</v>
      </c>
      <c r="E541">
        <v>2023</v>
      </c>
      <c r="F541">
        <v>5</v>
      </c>
      <c r="G541" t="s">
        <v>7</v>
      </c>
      <c r="H541">
        <v>5.3</v>
      </c>
      <c r="I541">
        <f t="shared" si="8"/>
        <v>5.3</v>
      </c>
    </row>
    <row r="542" spans="1:9" x14ac:dyDescent="0.3">
      <c r="A542">
        <v>992</v>
      </c>
      <c r="B542">
        <v>6</v>
      </c>
      <c r="C542" t="s">
        <v>8</v>
      </c>
      <c r="D542">
        <v>2</v>
      </c>
      <c r="E542">
        <v>2023</v>
      </c>
      <c r="F542">
        <v>6</v>
      </c>
      <c r="G542" t="s">
        <v>8</v>
      </c>
      <c r="H542">
        <v>4.0999999999999996</v>
      </c>
      <c r="I542">
        <f t="shared" si="8"/>
        <v>8.1999999999999993</v>
      </c>
    </row>
    <row r="543" spans="1:9" x14ac:dyDescent="0.3">
      <c r="A543">
        <v>992</v>
      </c>
      <c r="B543">
        <v>7</v>
      </c>
      <c r="C543" t="s">
        <v>6</v>
      </c>
      <c r="D543">
        <v>1</v>
      </c>
      <c r="E543">
        <v>2023</v>
      </c>
      <c r="F543">
        <v>7</v>
      </c>
      <c r="G543" t="s">
        <v>6</v>
      </c>
      <c r="H543">
        <v>7.5</v>
      </c>
      <c r="I543">
        <f t="shared" si="8"/>
        <v>7.5</v>
      </c>
    </row>
    <row r="544" spans="1:9" x14ac:dyDescent="0.3">
      <c r="A544">
        <v>993</v>
      </c>
      <c r="B544">
        <v>5</v>
      </c>
      <c r="C544" t="s">
        <v>7</v>
      </c>
      <c r="D544">
        <v>2</v>
      </c>
      <c r="E544">
        <v>2023</v>
      </c>
      <c r="F544">
        <v>5</v>
      </c>
      <c r="G544" t="s">
        <v>7</v>
      </c>
      <c r="H544">
        <v>5.3</v>
      </c>
      <c r="I544">
        <f t="shared" si="8"/>
        <v>10.6</v>
      </c>
    </row>
    <row r="545" spans="1:9" x14ac:dyDescent="0.3">
      <c r="A545">
        <v>993</v>
      </c>
      <c r="B545">
        <v>6</v>
      </c>
      <c r="C545" t="s">
        <v>8</v>
      </c>
      <c r="D545">
        <v>2</v>
      </c>
      <c r="E545">
        <v>2023</v>
      </c>
      <c r="F545">
        <v>6</v>
      </c>
      <c r="G545" t="s">
        <v>8</v>
      </c>
      <c r="H545">
        <v>4.0999999999999996</v>
      </c>
      <c r="I545">
        <f t="shared" si="8"/>
        <v>8.1999999999999993</v>
      </c>
    </row>
    <row r="546" spans="1:9" x14ac:dyDescent="0.3">
      <c r="A546">
        <v>994</v>
      </c>
      <c r="B546">
        <v>4</v>
      </c>
      <c r="C546" t="s">
        <v>7</v>
      </c>
      <c r="D546">
        <v>1</v>
      </c>
      <c r="E546">
        <v>2023</v>
      </c>
      <c r="F546">
        <v>4</v>
      </c>
      <c r="G546" t="s">
        <v>7</v>
      </c>
      <c r="H546">
        <v>4.8</v>
      </c>
      <c r="I546">
        <f t="shared" si="8"/>
        <v>4.8</v>
      </c>
    </row>
    <row r="547" spans="1:9" x14ac:dyDescent="0.3">
      <c r="A547">
        <v>994</v>
      </c>
      <c r="B547">
        <v>6</v>
      </c>
      <c r="C547" t="s">
        <v>6</v>
      </c>
      <c r="D547">
        <v>1</v>
      </c>
      <c r="E547">
        <v>2023</v>
      </c>
      <c r="F547">
        <v>6</v>
      </c>
      <c r="G547" t="s">
        <v>6</v>
      </c>
      <c r="H547">
        <v>7.5</v>
      </c>
      <c r="I547">
        <f t="shared" si="8"/>
        <v>7.5</v>
      </c>
    </row>
    <row r="548" spans="1:9" x14ac:dyDescent="0.3">
      <c r="A548">
        <v>996</v>
      </c>
      <c r="B548">
        <v>6</v>
      </c>
      <c r="C548" t="s">
        <v>8</v>
      </c>
      <c r="D548">
        <v>2</v>
      </c>
      <c r="E548">
        <v>2023</v>
      </c>
      <c r="F548">
        <v>6</v>
      </c>
      <c r="G548" t="s">
        <v>8</v>
      </c>
      <c r="H548">
        <v>4.0999999999999996</v>
      </c>
      <c r="I548">
        <f t="shared" si="8"/>
        <v>8.1999999999999993</v>
      </c>
    </row>
    <row r="549" spans="1:9" x14ac:dyDescent="0.3">
      <c r="A549">
        <v>996</v>
      </c>
      <c r="B549">
        <v>11</v>
      </c>
      <c r="C549" t="s">
        <v>7</v>
      </c>
      <c r="D549">
        <v>1</v>
      </c>
      <c r="E549">
        <v>2023</v>
      </c>
      <c r="F549">
        <v>11</v>
      </c>
      <c r="G549" t="s">
        <v>7</v>
      </c>
      <c r="H549">
        <v>5.3</v>
      </c>
      <c r="I549">
        <f t="shared" si="8"/>
        <v>5.3</v>
      </c>
    </row>
    <row r="550" spans="1:9" x14ac:dyDescent="0.3">
      <c r="A550">
        <v>997</v>
      </c>
      <c r="B550">
        <v>8</v>
      </c>
      <c r="C550" t="s">
        <v>6</v>
      </c>
      <c r="D550">
        <v>1</v>
      </c>
      <c r="E550">
        <v>2023</v>
      </c>
      <c r="F550">
        <v>8</v>
      </c>
      <c r="G550" t="s">
        <v>6</v>
      </c>
      <c r="H550">
        <v>7.7</v>
      </c>
      <c r="I550">
        <f t="shared" si="8"/>
        <v>7.7</v>
      </c>
    </row>
    <row r="551" spans="1:9" x14ac:dyDescent="0.3">
      <c r="A551">
        <v>997</v>
      </c>
      <c r="B551">
        <v>13</v>
      </c>
      <c r="C551" t="s">
        <v>6</v>
      </c>
      <c r="D551">
        <v>1</v>
      </c>
      <c r="E551">
        <v>2023</v>
      </c>
      <c r="F551">
        <v>13</v>
      </c>
      <c r="G551" t="s">
        <v>6</v>
      </c>
      <c r="H551">
        <v>7.5</v>
      </c>
      <c r="I551">
        <f t="shared" si="8"/>
        <v>7.5</v>
      </c>
    </row>
    <row r="552" spans="1:9" x14ac:dyDescent="0.3">
      <c r="A552">
        <v>999</v>
      </c>
      <c r="B552">
        <v>2</v>
      </c>
      <c r="C552" t="s">
        <v>8</v>
      </c>
      <c r="D552">
        <v>3</v>
      </c>
      <c r="E552">
        <v>2023</v>
      </c>
      <c r="F552">
        <v>2</v>
      </c>
      <c r="G552" t="s">
        <v>8</v>
      </c>
      <c r="H552">
        <v>3.9</v>
      </c>
      <c r="I552">
        <f t="shared" si="8"/>
        <v>11.7</v>
      </c>
    </row>
    <row r="553" spans="1:9" x14ac:dyDescent="0.3">
      <c r="A553">
        <v>1000</v>
      </c>
      <c r="B553">
        <v>2</v>
      </c>
      <c r="C553" t="s">
        <v>6</v>
      </c>
      <c r="D553">
        <v>2</v>
      </c>
      <c r="E553">
        <v>2023</v>
      </c>
      <c r="F553">
        <v>2</v>
      </c>
      <c r="G553" t="s">
        <v>6</v>
      </c>
      <c r="H553">
        <v>6.7</v>
      </c>
      <c r="I553">
        <f t="shared" si="8"/>
        <v>13.4</v>
      </c>
    </row>
    <row r="554" spans="1:9" x14ac:dyDescent="0.3">
      <c r="A554">
        <v>1000</v>
      </c>
      <c r="B554">
        <v>4</v>
      </c>
      <c r="C554" t="s">
        <v>7</v>
      </c>
      <c r="D554">
        <v>1</v>
      </c>
      <c r="E554">
        <v>2023</v>
      </c>
      <c r="F554">
        <v>4</v>
      </c>
      <c r="G554" t="s">
        <v>7</v>
      </c>
      <c r="H554">
        <v>4.8</v>
      </c>
      <c r="I554">
        <f t="shared" si="8"/>
        <v>4.8</v>
      </c>
    </row>
    <row r="555" spans="1:9" x14ac:dyDescent="0.3">
      <c r="A555">
        <v>1002</v>
      </c>
      <c r="B555">
        <v>5</v>
      </c>
      <c r="C555" t="s">
        <v>9</v>
      </c>
      <c r="D555">
        <v>1</v>
      </c>
      <c r="E555">
        <v>2023</v>
      </c>
      <c r="F555">
        <v>5</v>
      </c>
      <c r="G555" t="s">
        <v>9</v>
      </c>
      <c r="H555">
        <v>8.9</v>
      </c>
      <c r="I555">
        <f t="shared" si="8"/>
        <v>8.9</v>
      </c>
    </row>
    <row r="556" spans="1:9" x14ac:dyDescent="0.3">
      <c r="A556">
        <v>1002</v>
      </c>
      <c r="B556">
        <v>10</v>
      </c>
      <c r="C556" t="s">
        <v>6</v>
      </c>
      <c r="D556">
        <v>1</v>
      </c>
      <c r="E556">
        <v>2023</v>
      </c>
      <c r="F556">
        <v>10</v>
      </c>
      <c r="G556" t="s">
        <v>6</v>
      </c>
      <c r="H556">
        <v>7.5</v>
      </c>
      <c r="I556">
        <f t="shared" si="8"/>
        <v>7.5</v>
      </c>
    </row>
    <row r="557" spans="1:9" x14ac:dyDescent="0.3">
      <c r="A557">
        <v>1003</v>
      </c>
      <c r="B557">
        <v>4</v>
      </c>
      <c r="C557" t="s">
        <v>7</v>
      </c>
      <c r="D557">
        <v>2</v>
      </c>
      <c r="E557">
        <v>2023</v>
      </c>
      <c r="F557">
        <v>4</v>
      </c>
      <c r="G557" t="s">
        <v>7</v>
      </c>
      <c r="H557">
        <v>4.8</v>
      </c>
      <c r="I557">
        <f t="shared" si="8"/>
        <v>9.6</v>
      </c>
    </row>
    <row r="558" spans="1:9" x14ac:dyDescent="0.3">
      <c r="A558">
        <v>1003</v>
      </c>
      <c r="B558">
        <v>9</v>
      </c>
      <c r="C558" t="s">
        <v>6</v>
      </c>
      <c r="D558">
        <v>1</v>
      </c>
      <c r="E558">
        <v>2023</v>
      </c>
      <c r="F558">
        <v>9</v>
      </c>
      <c r="G558" t="s">
        <v>6</v>
      </c>
      <c r="H558">
        <v>7.7</v>
      </c>
      <c r="I558">
        <f t="shared" si="8"/>
        <v>7.7</v>
      </c>
    </row>
    <row r="559" spans="1:9" x14ac:dyDescent="0.3">
      <c r="A559">
        <v>1004</v>
      </c>
      <c r="B559">
        <v>3</v>
      </c>
      <c r="C559" t="s">
        <v>7</v>
      </c>
      <c r="D559">
        <v>1</v>
      </c>
      <c r="E559">
        <v>2023</v>
      </c>
      <c r="F559">
        <v>3</v>
      </c>
      <c r="G559" t="s">
        <v>7</v>
      </c>
      <c r="H559">
        <v>5.0999999999999996</v>
      </c>
      <c r="I559">
        <f t="shared" si="8"/>
        <v>5.0999999999999996</v>
      </c>
    </row>
    <row r="560" spans="1:9" x14ac:dyDescent="0.3">
      <c r="A560">
        <v>1004</v>
      </c>
      <c r="B560">
        <v>12</v>
      </c>
      <c r="C560" t="s">
        <v>7</v>
      </c>
      <c r="D560">
        <v>1</v>
      </c>
      <c r="E560">
        <v>2023</v>
      </c>
      <c r="F560">
        <v>12</v>
      </c>
      <c r="G560" t="s">
        <v>7</v>
      </c>
      <c r="H560">
        <v>5.3</v>
      </c>
      <c r="I560">
        <f t="shared" si="8"/>
        <v>5.3</v>
      </c>
    </row>
    <row r="561" spans="1:9" x14ac:dyDescent="0.3">
      <c r="A561">
        <v>1006</v>
      </c>
      <c r="B561">
        <v>5</v>
      </c>
      <c r="C561" t="s">
        <v>7</v>
      </c>
      <c r="D561">
        <v>2</v>
      </c>
      <c r="E561">
        <v>2023</v>
      </c>
      <c r="F561">
        <v>5</v>
      </c>
      <c r="G561" t="s">
        <v>7</v>
      </c>
      <c r="H561">
        <v>5.3</v>
      </c>
      <c r="I561">
        <f t="shared" si="8"/>
        <v>10.6</v>
      </c>
    </row>
    <row r="562" spans="1:9" x14ac:dyDescent="0.3">
      <c r="A562">
        <v>1006</v>
      </c>
      <c r="B562">
        <v>7</v>
      </c>
      <c r="C562" t="s">
        <v>6</v>
      </c>
      <c r="D562">
        <v>1</v>
      </c>
      <c r="E562">
        <v>2023</v>
      </c>
      <c r="F562">
        <v>7</v>
      </c>
      <c r="G562" t="s">
        <v>6</v>
      </c>
      <c r="H562">
        <v>7.5</v>
      </c>
      <c r="I562">
        <f t="shared" si="8"/>
        <v>7.5</v>
      </c>
    </row>
    <row r="563" spans="1:9" x14ac:dyDescent="0.3">
      <c r="A563">
        <v>1007</v>
      </c>
      <c r="B563">
        <v>4</v>
      </c>
      <c r="C563" t="s">
        <v>7</v>
      </c>
      <c r="D563">
        <v>1</v>
      </c>
      <c r="E563">
        <v>2023</v>
      </c>
      <c r="F563">
        <v>4</v>
      </c>
      <c r="G563" t="s">
        <v>7</v>
      </c>
      <c r="H563">
        <v>4.8</v>
      </c>
      <c r="I563">
        <f t="shared" si="8"/>
        <v>4.8</v>
      </c>
    </row>
    <row r="564" spans="1:9" x14ac:dyDescent="0.3">
      <c r="A564">
        <v>1007</v>
      </c>
      <c r="B564">
        <v>8</v>
      </c>
      <c r="C564" t="s">
        <v>6</v>
      </c>
      <c r="D564">
        <v>2</v>
      </c>
      <c r="E564">
        <v>2023</v>
      </c>
      <c r="F564">
        <v>8</v>
      </c>
      <c r="G564" t="s">
        <v>6</v>
      </c>
      <c r="H564">
        <v>7.7</v>
      </c>
      <c r="I564">
        <f t="shared" si="8"/>
        <v>15.4</v>
      </c>
    </row>
    <row r="565" spans="1:9" x14ac:dyDescent="0.3">
      <c r="A565">
        <v>1009</v>
      </c>
      <c r="B565">
        <v>1</v>
      </c>
      <c r="C565" t="s">
        <v>7</v>
      </c>
      <c r="D565">
        <v>3</v>
      </c>
      <c r="E565">
        <v>2023</v>
      </c>
      <c r="F565">
        <v>1</v>
      </c>
      <c r="G565" t="s">
        <v>7</v>
      </c>
      <c r="H565">
        <v>5.0999999999999996</v>
      </c>
      <c r="I565">
        <f t="shared" si="8"/>
        <v>15.299999999999999</v>
      </c>
    </row>
    <row r="566" spans="1:9" x14ac:dyDescent="0.3">
      <c r="A566">
        <v>1010</v>
      </c>
      <c r="B566">
        <v>2</v>
      </c>
      <c r="C566" t="s">
        <v>7</v>
      </c>
      <c r="D566">
        <v>1</v>
      </c>
      <c r="E566">
        <v>2023</v>
      </c>
      <c r="F566">
        <v>2</v>
      </c>
      <c r="G566" t="s">
        <v>7</v>
      </c>
      <c r="H566">
        <v>5.0999999999999996</v>
      </c>
      <c r="I566">
        <f t="shared" si="8"/>
        <v>5.0999999999999996</v>
      </c>
    </row>
    <row r="567" spans="1:9" x14ac:dyDescent="0.3">
      <c r="A567">
        <v>1010</v>
      </c>
      <c r="B567">
        <v>10</v>
      </c>
      <c r="C567" t="s">
        <v>7</v>
      </c>
      <c r="D567">
        <v>5</v>
      </c>
      <c r="E567">
        <v>2023</v>
      </c>
      <c r="F567">
        <v>10</v>
      </c>
      <c r="G567" t="s">
        <v>7</v>
      </c>
      <c r="H567">
        <v>5.3</v>
      </c>
      <c r="I567">
        <f t="shared" si="8"/>
        <v>26.5</v>
      </c>
    </row>
    <row r="568" spans="1:9" x14ac:dyDescent="0.3">
      <c r="A568">
        <v>1011</v>
      </c>
      <c r="B568">
        <v>1</v>
      </c>
      <c r="C568" t="s">
        <v>6</v>
      </c>
      <c r="D568">
        <v>3</v>
      </c>
      <c r="E568">
        <v>2023</v>
      </c>
      <c r="F568">
        <v>1</v>
      </c>
      <c r="G568" t="s">
        <v>6</v>
      </c>
      <c r="H568">
        <v>6.7</v>
      </c>
      <c r="I568">
        <f t="shared" si="8"/>
        <v>20.100000000000001</v>
      </c>
    </row>
    <row r="569" spans="1:9" x14ac:dyDescent="0.3">
      <c r="A569">
        <v>1011</v>
      </c>
      <c r="B569">
        <v>5</v>
      </c>
      <c r="C569" t="s">
        <v>7</v>
      </c>
      <c r="D569">
        <v>1</v>
      </c>
      <c r="E569">
        <v>2023</v>
      </c>
      <c r="F569">
        <v>5</v>
      </c>
      <c r="G569" t="s">
        <v>7</v>
      </c>
      <c r="H569">
        <v>5.3</v>
      </c>
      <c r="I569">
        <f t="shared" si="8"/>
        <v>5.3</v>
      </c>
    </row>
    <row r="570" spans="1:9" x14ac:dyDescent="0.3">
      <c r="A570">
        <v>1012</v>
      </c>
      <c r="B570">
        <v>2</v>
      </c>
      <c r="C570" t="s">
        <v>7</v>
      </c>
      <c r="D570">
        <v>2</v>
      </c>
      <c r="E570">
        <v>2023</v>
      </c>
      <c r="F570">
        <v>2</v>
      </c>
      <c r="G570" t="s">
        <v>7</v>
      </c>
      <c r="H570">
        <v>5.0999999999999996</v>
      </c>
      <c r="I570">
        <f t="shared" si="8"/>
        <v>10.199999999999999</v>
      </c>
    </row>
    <row r="571" spans="1:9" x14ac:dyDescent="0.3">
      <c r="A571">
        <v>1012</v>
      </c>
      <c r="B571">
        <v>4</v>
      </c>
      <c r="C571" t="s">
        <v>6</v>
      </c>
      <c r="D571">
        <v>2</v>
      </c>
      <c r="E571">
        <v>2023</v>
      </c>
      <c r="F571">
        <v>4</v>
      </c>
      <c r="G571" t="s">
        <v>6</v>
      </c>
      <c r="H571">
        <v>6.7</v>
      </c>
      <c r="I571">
        <f t="shared" si="8"/>
        <v>13.4</v>
      </c>
    </row>
    <row r="572" spans="1:9" x14ac:dyDescent="0.3">
      <c r="A572">
        <v>1013</v>
      </c>
      <c r="B572">
        <v>6</v>
      </c>
      <c r="C572" t="s">
        <v>8</v>
      </c>
      <c r="D572">
        <v>2</v>
      </c>
      <c r="E572">
        <v>2023</v>
      </c>
      <c r="F572">
        <v>6</v>
      </c>
      <c r="G572" t="s">
        <v>8</v>
      </c>
      <c r="H572">
        <v>4.0999999999999996</v>
      </c>
      <c r="I572">
        <f t="shared" si="8"/>
        <v>8.1999999999999993</v>
      </c>
    </row>
    <row r="573" spans="1:9" x14ac:dyDescent="0.3">
      <c r="A573">
        <v>1014</v>
      </c>
      <c r="B573">
        <v>5</v>
      </c>
      <c r="C573" t="s">
        <v>7</v>
      </c>
      <c r="D573">
        <v>1</v>
      </c>
      <c r="E573">
        <v>2023</v>
      </c>
      <c r="F573">
        <v>5</v>
      </c>
      <c r="G573" t="s">
        <v>7</v>
      </c>
      <c r="H573">
        <v>5.3</v>
      </c>
      <c r="I573">
        <f t="shared" si="8"/>
        <v>5.3</v>
      </c>
    </row>
    <row r="574" spans="1:9" x14ac:dyDescent="0.3">
      <c r="A574">
        <v>1015</v>
      </c>
      <c r="B574">
        <v>4</v>
      </c>
      <c r="C574" t="s">
        <v>7</v>
      </c>
      <c r="D574">
        <v>3</v>
      </c>
      <c r="E574">
        <v>2023</v>
      </c>
      <c r="F574">
        <v>4</v>
      </c>
      <c r="G574" t="s">
        <v>7</v>
      </c>
      <c r="H574">
        <v>4.8</v>
      </c>
      <c r="I574">
        <f t="shared" si="8"/>
        <v>14.399999999999999</v>
      </c>
    </row>
    <row r="575" spans="1:9" x14ac:dyDescent="0.3">
      <c r="A575">
        <v>1015</v>
      </c>
      <c r="B575">
        <v>9</v>
      </c>
      <c r="C575" t="s">
        <v>6</v>
      </c>
      <c r="D575">
        <v>1</v>
      </c>
      <c r="E575">
        <v>2023</v>
      </c>
      <c r="F575">
        <v>9</v>
      </c>
      <c r="G575" t="s">
        <v>6</v>
      </c>
      <c r="H575">
        <v>7.7</v>
      </c>
      <c r="I575">
        <f t="shared" si="8"/>
        <v>7.7</v>
      </c>
    </row>
    <row r="576" spans="1:9" x14ac:dyDescent="0.3">
      <c r="A576">
        <v>1016</v>
      </c>
      <c r="B576">
        <v>6</v>
      </c>
      <c r="C576" t="s">
        <v>7</v>
      </c>
      <c r="D576">
        <v>1</v>
      </c>
      <c r="E576">
        <v>2023</v>
      </c>
      <c r="F576">
        <v>6</v>
      </c>
      <c r="G576" t="s">
        <v>7</v>
      </c>
      <c r="H576">
        <v>5.3</v>
      </c>
      <c r="I576">
        <f t="shared" si="8"/>
        <v>5.3</v>
      </c>
    </row>
    <row r="577" spans="1:9" x14ac:dyDescent="0.3">
      <c r="A577">
        <v>1017</v>
      </c>
      <c r="B577">
        <v>6</v>
      </c>
      <c r="C577" t="s">
        <v>6</v>
      </c>
      <c r="D577">
        <v>1</v>
      </c>
      <c r="E577">
        <v>2023</v>
      </c>
      <c r="F577">
        <v>6</v>
      </c>
      <c r="G577" t="s">
        <v>6</v>
      </c>
      <c r="H577">
        <v>7.5</v>
      </c>
      <c r="I577">
        <f t="shared" si="8"/>
        <v>7.5</v>
      </c>
    </row>
    <row r="578" spans="1:9" x14ac:dyDescent="0.3">
      <c r="A578">
        <v>1018</v>
      </c>
      <c r="B578">
        <v>7</v>
      </c>
      <c r="C578" t="s">
        <v>7</v>
      </c>
      <c r="D578">
        <v>1</v>
      </c>
      <c r="E578">
        <v>2023</v>
      </c>
      <c r="F578">
        <v>7</v>
      </c>
      <c r="G578" t="s">
        <v>7</v>
      </c>
      <c r="H578">
        <v>5.3</v>
      </c>
      <c r="I578">
        <f t="shared" si="8"/>
        <v>5.3</v>
      </c>
    </row>
    <row r="579" spans="1:9" x14ac:dyDescent="0.3">
      <c r="A579">
        <v>1019</v>
      </c>
      <c r="B579">
        <v>7</v>
      </c>
      <c r="C579" t="s">
        <v>7</v>
      </c>
      <c r="D579">
        <v>1</v>
      </c>
      <c r="E579">
        <v>2023</v>
      </c>
      <c r="F579">
        <v>7</v>
      </c>
      <c r="G579" t="s">
        <v>7</v>
      </c>
      <c r="H579">
        <v>5.3</v>
      </c>
      <c r="I579">
        <f t="shared" ref="I579:I642" si="9">D579*H579</f>
        <v>5.3</v>
      </c>
    </row>
    <row r="580" spans="1:9" x14ac:dyDescent="0.3">
      <c r="A580">
        <v>1019</v>
      </c>
      <c r="B580">
        <v>11</v>
      </c>
      <c r="C580" t="s">
        <v>8</v>
      </c>
      <c r="D580">
        <v>2</v>
      </c>
      <c r="E580">
        <v>2023</v>
      </c>
      <c r="F580">
        <v>11</v>
      </c>
      <c r="G580" t="s">
        <v>8</v>
      </c>
      <c r="H580">
        <v>4</v>
      </c>
      <c r="I580">
        <f t="shared" si="9"/>
        <v>8</v>
      </c>
    </row>
    <row r="581" spans="1:9" x14ac:dyDescent="0.3">
      <c r="A581">
        <v>1021</v>
      </c>
      <c r="B581">
        <v>6</v>
      </c>
      <c r="C581" t="s">
        <v>7</v>
      </c>
      <c r="D581">
        <v>1</v>
      </c>
      <c r="E581">
        <v>2023</v>
      </c>
      <c r="F581">
        <v>6</v>
      </c>
      <c r="G581" t="s">
        <v>7</v>
      </c>
      <c r="H581">
        <v>5.3</v>
      </c>
      <c r="I581">
        <f t="shared" si="9"/>
        <v>5.3</v>
      </c>
    </row>
    <row r="582" spans="1:9" x14ac:dyDescent="0.3">
      <c r="A582">
        <v>1022</v>
      </c>
      <c r="B582">
        <v>8</v>
      </c>
      <c r="C582" t="s">
        <v>6</v>
      </c>
      <c r="D582">
        <v>1</v>
      </c>
      <c r="E582">
        <v>2023</v>
      </c>
      <c r="F582">
        <v>8</v>
      </c>
      <c r="G582" t="s">
        <v>6</v>
      </c>
      <c r="H582">
        <v>7.7</v>
      </c>
      <c r="I582">
        <f t="shared" si="9"/>
        <v>7.7</v>
      </c>
    </row>
    <row r="583" spans="1:9" x14ac:dyDescent="0.3">
      <c r="A583">
        <v>1022</v>
      </c>
      <c r="B583">
        <v>12</v>
      </c>
      <c r="C583" t="s">
        <v>6</v>
      </c>
      <c r="D583">
        <v>1</v>
      </c>
      <c r="E583">
        <v>2023</v>
      </c>
      <c r="F583">
        <v>12</v>
      </c>
      <c r="G583" t="s">
        <v>6</v>
      </c>
      <c r="H583">
        <v>7.5</v>
      </c>
      <c r="I583">
        <f t="shared" si="9"/>
        <v>7.5</v>
      </c>
    </row>
    <row r="584" spans="1:9" x14ac:dyDescent="0.3">
      <c r="A584">
        <v>1023</v>
      </c>
      <c r="B584">
        <v>2</v>
      </c>
      <c r="C584" t="s">
        <v>6</v>
      </c>
      <c r="D584">
        <v>4</v>
      </c>
      <c r="E584">
        <v>2023</v>
      </c>
      <c r="F584">
        <v>2</v>
      </c>
      <c r="G584" t="s">
        <v>6</v>
      </c>
      <c r="H584">
        <v>6.7</v>
      </c>
      <c r="I584">
        <f t="shared" si="9"/>
        <v>26.8</v>
      </c>
    </row>
    <row r="585" spans="1:9" x14ac:dyDescent="0.3">
      <c r="A585">
        <v>1024</v>
      </c>
      <c r="B585">
        <v>1</v>
      </c>
      <c r="C585" t="s">
        <v>6</v>
      </c>
      <c r="D585">
        <v>1</v>
      </c>
      <c r="E585">
        <v>2023</v>
      </c>
      <c r="F585">
        <v>1</v>
      </c>
      <c r="G585" t="s">
        <v>6</v>
      </c>
      <c r="H585">
        <v>6.7</v>
      </c>
      <c r="I585">
        <f t="shared" si="9"/>
        <v>6.7</v>
      </c>
    </row>
    <row r="586" spans="1:9" x14ac:dyDescent="0.3">
      <c r="A586">
        <v>1024</v>
      </c>
      <c r="B586">
        <v>6</v>
      </c>
      <c r="C586" t="s">
        <v>7</v>
      </c>
      <c r="D586">
        <v>1</v>
      </c>
      <c r="E586">
        <v>2023</v>
      </c>
      <c r="F586">
        <v>6</v>
      </c>
      <c r="G586" t="s">
        <v>7</v>
      </c>
      <c r="H586">
        <v>5.3</v>
      </c>
      <c r="I586">
        <f t="shared" si="9"/>
        <v>5.3</v>
      </c>
    </row>
    <row r="587" spans="1:9" x14ac:dyDescent="0.3">
      <c r="A587">
        <v>1025</v>
      </c>
      <c r="B587">
        <v>4</v>
      </c>
      <c r="C587" t="s">
        <v>7</v>
      </c>
      <c r="D587">
        <v>1</v>
      </c>
      <c r="E587">
        <v>2023</v>
      </c>
      <c r="F587">
        <v>4</v>
      </c>
      <c r="G587" t="s">
        <v>7</v>
      </c>
      <c r="H587">
        <v>4.8</v>
      </c>
      <c r="I587">
        <f t="shared" si="9"/>
        <v>4.8</v>
      </c>
    </row>
    <row r="588" spans="1:9" x14ac:dyDescent="0.3">
      <c r="A588">
        <v>1025</v>
      </c>
      <c r="B588">
        <v>5</v>
      </c>
      <c r="C588" t="s">
        <v>6</v>
      </c>
      <c r="D588">
        <v>2</v>
      </c>
      <c r="E588">
        <v>2023</v>
      </c>
      <c r="F588">
        <v>5</v>
      </c>
      <c r="G588" t="s">
        <v>6</v>
      </c>
      <c r="H588">
        <v>7.5</v>
      </c>
      <c r="I588">
        <f t="shared" si="9"/>
        <v>15</v>
      </c>
    </row>
    <row r="589" spans="1:9" x14ac:dyDescent="0.3">
      <c r="A589">
        <v>1026</v>
      </c>
      <c r="B589">
        <v>8</v>
      </c>
      <c r="C589" t="s">
        <v>6</v>
      </c>
      <c r="D589">
        <v>1</v>
      </c>
      <c r="E589">
        <v>2023</v>
      </c>
      <c r="F589">
        <v>8</v>
      </c>
      <c r="G589" t="s">
        <v>6</v>
      </c>
      <c r="H589">
        <v>7.7</v>
      </c>
      <c r="I589">
        <f t="shared" si="9"/>
        <v>7.7</v>
      </c>
    </row>
    <row r="590" spans="1:9" x14ac:dyDescent="0.3">
      <c r="A590">
        <v>1026</v>
      </c>
      <c r="B590">
        <v>10</v>
      </c>
      <c r="C590" t="s">
        <v>6</v>
      </c>
      <c r="D590">
        <v>1</v>
      </c>
      <c r="E590">
        <v>2023</v>
      </c>
      <c r="F590">
        <v>10</v>
      </c>
      <c r="G590" t="s">
        <v>6</v>
      </c>
      <c r="H590">
        <v>7.5</v>
      </c>
      <c r="I590">
        <f t="shared" si="9"/>
        <v>7.5</v>
      </c>
    </row>
    <row r="591" spans="1:9" x14ac:dyDescent="0.3">
      <c r="A591">
        <v>1027</v>
      </c>
      <c r="B591">
        <v>4</v>
      </c>
      <c r="C591" t="s">
        <v>7</v>
      </c>
      <c r="D591">
        <v>2</v>
      </c>
      <c r="E591">
        <v>2023</v>
      </c>
      <c r="F591">
        <v>4</v>
      </c>
      <c r="G591" t="s">
        <v>7</v>
      </c>
      <c r="H591">
        <v>4.8</v>
      </c>
      <c r="I591">
        <f t="shared" si="9"/>
        <v>9.6</v>
      </c>
    </row>
    <row r="592" spans="1:9" x14ac:dyDescent="0.3">
      <c r="A592">
        <v>1029</v>
      </c>
      <c r="B592">
        <v>12</v>
      </c>
      <c r="C592" t="s">
        <v>7</v>
      </c>
      <c r="D592">
        <v>1</v>
      </c>
      <c r="E592">
        <v>2023</v>
      </c>
      <c r="F592">
        <v>12</v>
      </c>
      <c r="G592" t="s">
        <v>7</v>
      </c>
      <c r="H592">
        <v>5.3</v>
      </c>
      <c r="I592">
        <f t="shared" si="9"/>
        <v>5.3</v>
      </c>
    </row>
    <row r="593" spans="1:9" x14ac:dyDescent="0.3">
      <c r="A593">
        <v>1029</v>
      </c>
      <c r="B593">
        <v>13</v>
      </c>
      <c r="C593" t="s">
        <v>8</v>
      </c>
      <c r="D593">
        <v>2</v>
      </c>
      <c r="E593">
        <v>2023</v>
      </c>
      <c r="F593">
        <v>13</v>
      </c>
      <c r="G593" t="s">
        <v>8</v>
      </c>
      <c r="H593">
        <v>4</v>
      </c>
      <c r="I593">
        <f t="shared" si="9"/>
        <v>8</v>
      </c>
    </row>
    <row r="594" spans="1:9" x14ac:dyDescent="0.3">
      <c r="A594">
        <v>1030</v>
      </c>
      <c r="B594">
        <v>2</v>
      </c>
      <c r="C594" t="s">
        <v>7</v>
      </c>
      <c r="D594">
        <v>2</v>
      </c>
      <c r="E594">
        <v>2023</v>
      </c>
      <c r="F594">
        <v>2</v>
      </c>
      <c r="G594" t="s">
        <v>7</v>
      </c>
      <c r="H594">
        <v>5.0999999999999996</v>
      </c>
      <c r="I594">
        <f t="shared" si="9"/>
        <v>10.199999999999999</v>
      </c>
    </row>
    <row r="595" spans="1:9" x14ac:dyDescent="0.3">
      <c r="A595">
        <v>1030</v>
      </c>
      <c r="B595">
        <v>7</v>
      </c>
      <c r="C595" t="s">
        <v>6</v>
      </c>
      <c r="D595">
        <v>1</v>
      </c>
      <c r="E595">
        <v>2023</v>
      </c>
      <c r="F595">
        <v>7</v>
      </c>
      <c r="G595" t="s">
        <v>6</v>
      </c>
      <c r="H595">
        <v>7.5</v>
      </c>
      <c r="I595">
        <f t="shared" si="9"/>
        <v>7.5</v>
      </c>
    </row>
    <row r="596" spans="1:9" x14ac:dyDescent="0.3">
      <c r="A596">
        <v>1030</v>
      </c>
      <c r="B596">
        <v>11</v>
      </c>
      <c r="C596" t="s">
        <v>6</v>
      </c>
      <c r="D596">
        <v>1</v>
      </c>
      <c r="E596">
        <v>2023</v>
      </c>
      <c r="F596">
        <v>11</v>
      </c>
      <c r="G596" t="s">
        <v>6</v>
      </c>
      <c r="H596">
        <v>7.5</v>
      </c>
      <c r="I596">
        <f t="shared" si="9"/>
        <v>7.5</v>
      </c>
    </row>
    <row r="597" spans="1:9" x14ac:dyDescent="0.3">
      <c r="A597">
        <v>1031</v>
      </c>
      <c r="B597">
        <v>5</v>
      </c>
      <c r="C597" t="s">
        <v>7</v>
      </c>
      <c r="D597">
        <v>1</v>
      </c>
      <c r="E597">
        <v>2023</v>
      </c>
      <c r="F597">
        <v>5</v>
      </c>
      <c r="G597" t="s">
        <v>7</v>
      </c>
      <c r="H597">
        <v>5.3</v>
      </c>
      <c r="I597">
        <f t="shared" si="9"/>
        <v>5.3</v>
      </c>
    </row>
    <row r="598" spans="1:9" x14ac:dyDescent="0.3">
      <c r="A598">
        <v>1032</v>
      </c>
      <c r="B598">
        <v>7</v>
      </c>
      <c r="C598" t="s">
        <v>7</v>
      </c>
      <c r="D598">
        <v>1</v>
      </c>
      <c r="E598">
        <v>2023</v>
      </c>
      <c r="F598">
        <v>7</v>
      </c>
      <c r="G598" t="s">
        <v>7</v>
      </c>
      <c r="H598">
        <v>5.3</v>
      </c>
      <c r="I598">
        <f t="shared" si="9"/>
        <v>5.3</v>
      </c>
    </row>
    <row r="599" spans="1:9" x14ac:dyDescent="0.3">
      <c r="A599">
        <v>1033</v>
      </c>
      <c r="B599">
        <v>1</v>
      </c>
      <c r="C599" t="s">
        <v>7</v>
      </c>
      <c r="D599">
        <v>3</v>
      </c>
      <c r="E599">
        <v>2023</v>
      </c>
      <c r="F599">
        <v>1</v>
      </c>
      <c r="G599" t="s">
        <v>7</v>
      </c>
      <c r="H599">
        <v>5.0999999999999996</v>
      </c>
      <c r="I599">
        <f t="shared" si="9"/>
        <v>15.299999999999999</v>
      </c>
    </row>
    <row r="600" spans="1:9" x14ac:dyDescent="0.3">
      <c r="A600">
        <v>1033</v>
      </c>
      <c r="B600">
        <v>3</v>
      </c>
      <c r="C600" t="s">
        <v>6</v>
      </c>
      <c r="D600">
        <v>1</v>
      </c>
      <c r="E600">
        <v>2023</v>
      </c>
      <c r="F600">
        <v>3</v>
      </c>
      <c r="G600" t="s">
        <v>6</v>
      </c>
      <c r="H600">
        <v>6.7</v>
      </c>
      <c r="I600">
        <f t="shared" si="9"/>
        <v>6.7</v>
      </c>
    </row>
    <row r="601" spans="1:9" x14ac:dyDescent="0.3">
      <c r="A601">
        <v>1035</v>
      </c>
      <c r="B601">
        <v>12</v>
      </c>
      <c r="C601" t="s">
        <v>6</v>
      </c>
      <c r="D601">
        <v>2</v>
      </c>
      <c r="E601">
        <v>2023</v>
      </c>
      <c r="F601">
        <v>12</v>
      </c>
      <c r="G601" t="s">
        <v>6</v>
      </c>
      <c r="H601">
        <v>7.5</v>
      </c>
      <c r="I601">
        <f t="shared" si="9"/>
        <v>15</v>
      </c>
    </row>
    <row r="602" spans="1:9" x14ac:dyDescent="0.3">
      <c r="A602">
        <v>1036</v>
      </c>
      <c r="B602">
        <v>9</v>
      </c>
      <c r="C602" t="s">
        <v>6</v>
      </c>
      <c r="D602">
        <v>1</v>
      </c>
      <c r="E602">
        <v>2023</v>
      </c>
      <c r="F602">
        <v>9</v>
      </c>
      <c r="G602" t="s">
        <v>6</v>
      </c>
      <c r="H602">
        <v>7.7</v>
      </c>
      <c r="I602">
        <f t="shared" si="9"/>
        <v>7.7</v>
      </c>
    </row>
    <row r="603" spans="1:9" x14ac:dyDescent="0.3">
      <c r="A603">
        <v>1036</v>
      </c>
      <c r="B603">
        <v>10</v>
      </c>
      <c r="C603" t="s">
        <v>6</v>
      </c>
      <c r="D603">
        <v>1</v>
      </c>
      <c r="E603">
        <v>2023</v>
      </c>
      <c r="F603">
        <v>10</v>
      </c>
      <c r="G603" t="s">
        <v>6</v>
      </c>
      <c r="H603">
        <v>7.5</v>
      </c>
      <c r="I603">
        <f t="shared" si="9"/>
        <v>7.5</v>
      </c>
    </row>
    <row r="604" spans="1:9" x14ac:dyDescent="0.3">
      <c r="A604">
        <v>1037</v>
      </c>
      <c r="B604">
        <v>9</v>
      </c>
      <c r="C604" t="s">
        <v>7</v>
      </c>
      <c r="D604">
        <v>1</v>
      </c>
      <c r="E604">
        <v>2023</v>
      </c>
      <c r="F604">
        <v>9</v>
      </c>
      <c r="G604" t="s">
        <v>7</v>
      </c>
      <c r="H604">
        <v>5.2</v>
      </c>
      <c r="I604">
        <f t="shared" si="9"/>
        <v>5.2</v>
      </c>
    </row>
    <row r="605" spans="1:9" x14ac:dyDescent="0.3">
      <c r="A605">
        <v>1038</v>
      </c>
      <c r="B605">
        <v>2</v>
      </c>
      <c r="C605" t="s">
        <v>7</v>
      </c>
      <c r="D605">
        <v>1</v>
      </c>
      <c r="E605">
        <v>2023</v>
      </c>
      <c r="F605">
        <v>2</v>
      </c>
      <c r="G605" t="s">
        <v>7</v>
      </c>
      <c r="H605">
        <v>5.0999999999999996</v>
      </c>
      <c r="I605">
        <f t="shared" si="9"/>
        <v>5.0999999999999996</v>
      </c>
    </row>
    <row r="606" spans="1:9" x14ac:dyDescent="0.3">
      <c r="A606">
        <v>1040</v>
      </c>
      <c r="B606">
        <v>8</v>
      </c>
      <c r="C606" t="s">
        <v>6</v>
      </c>
      <c r="D606">
        <v>1</v>
      </c>
      <c r="E606">
        <v>2023</v>
      </c>
      <c r="F606">
        <v>8</v>
      </c>
      <c r="G606" t="s">
        <v>6</v>
      </c>
      <c r="H606">
        <v>7.7</v>
      </c>
      <c r="I606">
        <f t="shared" si="9"/>
        <v>7.7</v>
      </c>
    </row>
    <row r="607" spans="1:9" x14ac:dyDescent="0.3">
      <c r="A607">
        <v>1040</v>
      </c>
      <c r="B607">
        <v>10</v>
      </c>
      <c r="C607" t="s">
        <v>6</v>
      </c>
      <c r="D607">
        <v>1</v>
      </c>
      <c r="E607">
        <v>2023</v>
      </c>
      <c r="F607">
        <v>10</v>
      </c>
      <c r="G607" t="s">
        <v>6</v>
      </c>
      <c r="H607">
        <v>7.5</v>
      </c>
      <c r="I607">
        <f t="shared" si="9"/>
        <v>7.5</v>
      </c>
    </row>
    <row r="608" spans="1:9" x14ac:dyDescent="0.3">
      <c r="A608">
        <v>1046</v>
      </c>
      <c r="B608">
        <v>1</v>
      </c>
      <c r="C608" t="s">
        <v>8</v>
      </c>
      <c r="D608">
        <v>2</v>
      </c>
      <c r="E608">
        <v>2023</v>
      </c>
      <c r="F608">
        <v>1</v>
      </c>
      <c r="G608" t="s">
        <v>8</v>
      </c>
      <c r="H608">
        <v>3.9</v>
      </c>
      <c r="I608">
        <f t="shared" si="9"/>
        <v>7.8</v>
      </c>
    </row>
    <row r="609" spans="1:9" x14ac:dyDescent="0.3">
      <c r="A609">
        <v>1046</v>
      </c>
      <c r="B609">
        <v>9</v>
      </c>
      <c r="C609" t="s">
        <v>6</v>
      </c>
      <c r="D609">
        <v>1</v>
      </c>
      <c r="E609">
        <v>2023</v>
      </c>
      <c r="F609">
        <v>9</v>
      </c>
      <c r="G609" t="s">
        <v>6</v>
      </c>
      <c r="H609">
        <v>7.7</v>
      </c>
      <c r="I609">
        <f t="shared" si="9"/>
        <v>7.7</v>
      </c>
    </row>
    <row r="610" spans="1:9" x14ac:dyDescent="0.3">
      <c r="A610">
        <v>1047</v>
      </c>
      <c r="B610">
        <v>2</v>
      </c>
      <c r="C610" t="s">
        <v>7</v>
      </c>
      <c r="D610">
        <v>1</v>
      </c>
      <c r="E610">
        <v>2023</v>
      </c>
      <c r="F610">
        <v>2</v>
      </c>
      <c r="G610" t="s">
        <v>7</v>
      </c>
      <c r="H610">
        <v>5.0999999999999996</v>
      </c>
      <c r="I610">
        <f t="shared" si="9"/>
        <v>5.0999999999999996</v>
      </c>
    </row>
    <row r="611" spans="1:9" x14ac:dyDescent="0.3">
      <c r="A611">
        <v>1047</v>
      </c>
      <c r="B611">
        <v>5</v>
      </c>
      <c r="C611" t="s">
        <v>7</v>
      </c>
      <c r="D611">
        <v>1</v>
      </c>
      <c r="E611">
        <v>2023</v>
      </c>
      <c r="F611">
        <v>5</v>
      </c>
      <c r="G611" t="s">
        <v>7</v>
      </c>
      <c r="H611">
        <v>5.3</v>
      </c>
      <c r="I611">
        <f t="shared" si="9"/>
        <v>5.3</v>
      </c>
    </row>
    <row r="612" spans="1:9" x14ac:dyDescent="0.3">
      <c r="A612">
        <v>1048</v>
      </c>
      <c r="B612">
        <v>10</v>
      </c>
      <c r="C612" t="s">
        <v>7</v>
      </c>
      <c r="D612">
        <v>2</v>
      </c>
      <c r="E612">
        <v>2023</v>
      </c>
      <c r="F612">
        <v>10</v>
      </c>
      <c r="G612" t="s">
        <v>7</v>
      </c>
      <c r="H612">
        <v>5.3</v>
      </c>
      <c r="I612">
        <f t="shared" si="9"/>
        <v>10.6</v>
      </c>
    </row>
    <row r="613" spans="1:9" x14ac:dyDescent="0.3">
      <c r="A613">
        <v>1049</v>
      </c>
      <c r="B613">
        <v>1</v>
      </c>
      <c r="C613" t="s">
        <v>6</v>
      </c>
      <c r="D613">
        <v>1</v>
      </c>
      <c r="E613">
        <v>2023</v>
      </c>
      <c r="F613">
        <v>1</v>
      </c>
      <c r="G613" t="s">
        <v>6</v>
      </c>
      <c r="H613">
        <v>6.7</v>
      </c>
      <c r="I613">
        <f t="shared" si="9"/>
        <v>6.7</v>
      </c>
    </row>
    <row r="614" spans="1:9" x14ac:dyDescent="0.3">
      <c r="A614">
        <v>1049</v>
      </c>
      <c r="B614">
        <v>4</v>
      </c>
      <c r="C614" t="s">
        <v>6</v>
      </c>
      <c r="D614">
        <v>2</v>
      </c>
      <c r="E614">
        <v>2023</v>
      </c>
      <c r="F614">
        <v>4</v>
      </c>
      <c r="G614" t="s">
        <v>6</v>
      </c>
      <c r="H614">
        <v>6.7</v>
      </c>
      <c r="I614">
        <f t="shared" si="9"/>
        <v>13.4</v>
      </c>
    </row>
    <row r="615" spans="1:9" x14ac:dyDescent="0.3">
      <c r="A615">
        <v>1050</v>
      </c>
      <c r="B615">
        <v>2</v>
      </c>
      <c r="C615" t="s">
        <v>7</v>
      </c>
      <c r="D615">
        <v>1</v>
      </c>
      <c r="E615">
        <v>2023</v>
      </c>
      <c r="F615">
        <v>2</v>
      </c>
      <c r="G615" t="s">
        <v>7</v>
      </c>
      <c r="H615">
        <v>5.0999999999999996</v>
      </c>
      <c r="I615">
        <f t="shared" si="9"/>
        <v>5.0999999999999996</v>
      </c>
    </row>
    <row r="616" spans="1:9" x14ac:dyDescent="0.3">
      <c r="A616">
        <v>1050</v>
      </c>
      <c r="B616">
        <v>6</v>
      </c>
      <c r="C616" t="s">
        <v>6</v>
      </c>
      <c r="D616">
        <v>1</v>
      </c>
      <c r="E616">
        <v>2023</v>
      </c>
      <c r="F616">
        <v>6</v>
      </c>
      <c r="G616" t="s">
        <v>6</v>
      </c>
      <c r="H616">
        <v>7.5</v>
      </c>
      <c r="I616">
        <f t="shared" si="9"/>
        <v>7.5</v>
      </c>
    </row>
    <row r="617" spans="1:9" x14ac:dyDescent="0.3">
      <c r="A617">
        <v>1052</v>
      </c>
      <c r="B617">
        <v>4</v>
      </c>
      <c r="C617" t="s">
        <v>7</v>
      </c>
      <c r="D617">
        <v>2</v>
      </c>
      <c r="E617">
        <v>2023</v>
      </c>
      <c r="F617">
        <v>4</v>
      </c>
      <c r="G617" t="s">
        <v>7</v>
      </c>
      <c r="H617">
        <v>4.8</v>
      </c>
      <c r="I617">
        <f t="shared" si="9"/>
        <v>9.6</v>
      </c>
    </row>
    <row r="618" spans="1:9" x14ac:dyDescent="0.3">
      <c r="A618">
        <v>1052</v>
      </c>
      <c r="B618">
        <v>6</v>
      </c>
      <c r="C618" t="s">
        <v>7</v>
      </c>
      <c r="D618">
        <v>1</v>
      </c>
      <c r="E618">
        <v>2023</v>
      </c>
      <c r="F618">
        <v>6</v>
      </c>
      <c r="G618" t="s">
        <v>7</v>
      </c>
      <c r="H618">
        <v>5.3</v>
      </c>
      <c r="I618">
        <f t="shared" si="9"/>
        <v>5.3</v>
      </c>
    </row>
    <row r="619" spans="1:9" x14ac:dyDescent="0.3">
      <c r="A619">
        <v>1053</v>
      </c>
      <c r="B619">
        <v>6</v>
      </c>
      <c r="C619" t="s">
        <v>6</v>
      </c>
      <c r="D619">
        <v>1</v>
      </c>
      <c r="E619">
        <v>2023</v>
      </c>
      <c r="F619">
        <v>6</v>
      </c>
      <c r="G619" t="s">
        <v>6</v>
      </c>
      <c r="H619">
        <v>7.5</v>
      </c>
      <c r="I619">
        <f t="shared" si="9"/>
        <v>7.5</v>
      </c>
    </row>
    <row r="620" spans="1:9" x14ac:dyDescent="0.3">
      <c r="A620">
        <v>1053</v>
      </c>
      <c r="B620">
        <v>7</v>
      </c>
      <c r="C620" t="s">
        <v>7</v>
      </c>
      <c r="D620">
        <v>1</v>
      </c>
      <c r="E620">
        <v>2023</v>
      </c>
      <c r="F620">
        <v>7</v>
      </c>
      <c r="G620" t="s">
        <v>7</v>
      </c>
      <c r="H620">
        <v>5.3</v>
      </c>
      <c r="I620">
        <f t="shared" si="9"/>
        <v>5.3</v>
      </c>
    </row>
    <row r="621" spans="1:9" x14ac:dyDescent="0.3">
      <c r="A621">
        <v>1054</v>
      </c>
      <c r="B621">
        <v>6</v>
      </c>
      <c r="C621" t="s">
        <v>7</v>
      </c>
      <c r="D621">
        <v>1</v>
      </c>
      <c r="E621">
        <v>2023</v>
      </c>
      <c r="F621">
        <v>6</v>
      </c>
      <c r="G621" t="s">
        <v>7</v>
      </c>
      <c r="H621">
        <v>5.3</v>
      </c>
      <c r="I621">
        <f t="shared" si="9"/>
        <v>5.3</v>
      </c>
    </row>
    <row r="622" spans="1:9" x14ac:dyDescent="0.3">
      <c r="A622">
        <v>1054</v>
      </c>
      <c r="B622">
        <v>7</v>
      </c>
      <c r="C622" t="s">
        <v>7</v>
      </c>
      <c r="D622">
        <v>2</v>
      </c>
      <c r="E622">
        <v>2023</v>
      </c>
      <c r="F622">
        <v>7</v>
      </c>
      <c r="G622" t="s">
        <v>7</v>
      </c>
      <c r="H622">
        <v>5.3</v>
      </c>
      <c r="I622">
        <f t="shared" si="9"/>
        <v>10.6</v>
      </c>
    </row>
    <row r="623" spans="1:9" x14ac:dyDescent="0.3">
      <c r="A623">
        <v>1055</v>
      </c>
      <c r="B623">
        <v>5</v>
      </c>
      <c r="C623" t="s">
        <v>6</v>
      </c>
      <c r="D623">
        <v>1</v>
      </c>
      <c r="E623">
        <v>2023</v>
      </c>
      <c r="F623">
        <v>5</v>
      </c>
      <c r="G623" t="s">
        <v>6</v>
      </c>
      <c r="H623">
        <v>7.5</v>
      </c>
      <c r="I623">
        <f t="shared" si="9"/>
        <v>7.5</v>
      </c>
    </row>
    <row r="624" spans="1:9" x14ac:dyDescent="0.3">
      <c r="A624">
        <v>1055</v>
      </c>
      <c r="B624">
        <v>11</v>
      </c>
      <c r="C624" t="s">
        <v>7</v>
      </c>
      <c r="D624">
        <v>1</v>
      </c>
      <c r="E624">
        <v>2023</v>
      </c>
      <c r="F624">
        <v>11</v>
      </c>
      <c r="G624" t="s">
        <v>7</v>
      </c>
      <c r="H624">
        <v>5.3</v>
      </c>
      <c r="I624">
        <f t="shared" si="9"/>
        <v>5.3</v>
      </c>
    </row>
    <row r="625" spans="1:9" x14ac:dyDescent="0.3">
      <c r="A625">
        <v>1057</v>
      </c>
      <c r="B625">
        <v>2</v>
      </c>
      <c r="C625" t="s">
        <v>6</v>
      </c>
      <c r="D625">
        <v>1</v>
      </c>
      <c r="E625">
        <v>2023</v>
      </c>
      <c r="F625">
        <v>2</v>
      </c>
      <c r="G625" t="s">
        <v>6</v>
      </c>
      <c r="H625">
        <v>6.7</v>
      </c>
      <c r="I625">
        <f t="shared" si="9"/>
        <v>6.7</v>
      </c>
    </row>
    <row r="626" spans="1:9" x14ac:dyDescent="0.3">
      <c r="A626">
        <v>1057</v>
      </c>
      <c r="B626">
        <v>12</v>
      </c>
      <c r="C626" t="s">
        <v>6</v>
      </c>
      <c r="D626">
        <v>2</v>
      </c>
      <c r="E626">
        <v>2023</v>
      </c>
      <c r="F626">
        <v>12</v>
      </c>
      <c r="G626" t="s">
        <v>6</v>
      </c>
      <c r="H626">
        <v>7.5</v>
      </c>
      <c r="I626">
        <f t="shared" si="9"/>
        <v>15</v>
      </c>
    </row>
    <row r="627" spans="1:9" x14ac:dyDescent="0.3">
      <c r="A627">
        <v>1059</v>
      </c>
      <c r="B627">
        <v>1</v>
      </c>
      <c r="C627" t="s">
        <v>6</v>
      </c>
      <c r="D627">
        <v>1</v>
      </c>
      <c r="E627">
        <v>2023</v>
      </c>
      <c r="F627">
        <v>1</v>
      </c>
      <c r="G627" t="s">
        <v>6</v>
      </c>
      <c r="H627">
        <v>6.7</v>
      </c>
      <c r="I627">
        <f t="shared" si="9"/>
        <v>6.7</v>
      </c>
    </row>
    <row r="628" spans="1:9" x14ac:dyDescent="0.3">
      <c r="A628">
        <v>1059</v>
      </c>
      <c r="B628">
        <v>8</v>
      </c>
      <c r="C628" t="s">
        <v>9</v>
      </c>
      <c r="D628">
        <v>1</v>
      </c>
      <c r="E628">
        <v>2023</v>
      </c>
      <c r="F628">
        <v>8</v>
      </c>
      <c r="G628" t="s">
        <v>9</v>
      </c>
      <c r="H628">
        <v>9.6</v>
      </c>
      <c r="I628">
        <f t="shared" si="9"/>
        <v>9.6</v>
      </c>
    </row>
    <row r="629" spans="1:9" x14ac:dyDescent="0.3">
      <c r="A629">
        <v>1060</v>
      </c>
      <c r="B629">
        <v>5</v>
      </c>
      <c r="C629" t="s">
        <v>6</v>
      </c>
      <c r="D629">
        <v>1</v>
      </c>
      <c r="E629">
        <v>2023</v>
      </c>
      <c r="F629">
        <v>5</v>
      </c>
      <c r="G629" t="s">
        <v>6</v>
      </c>
      <c r="H629">
        <v>7.5</v>
      </c>
      <c r="I629">
        <f t="shared" si="9"/>
        <v>7.5</v>
      </c>
    </row>
    <row r="630" spans="1:9" x14ac:dyDescent="0.3">
      <c r="A630">
        <v>1060</v>
      </c>
      <c r="B630">
        <v>10</v>
      </c>
      <c r="C630" t="s">
        <v>6</v>
      </c>
      <c r="D630">
        <v>1</v>
      </c>
      <c r="E630">
        <v>2023</v>
      </c>
      <c r="F630">
        <v>10</v>
      </c>
      <c r="G630" t="s">
        <v>6</v>
      </c>
      <c r="H630">
        <v>7.5</v>
      </c>
      <c r="I630">
        <f t="shared" si="9"/>
        <v>7.5</v>
      </c>
    </row>
    <row r="631" spans="1:9" x14ac:dyDescent="0.3">
      <c r="A631">
        <v>1061</v>
      </c>
      <c r="B631">
        <v>4</v>
      </c>
      <c r="C631" t="s">
        <v>7</v>
      </c>
      <c r="D631">
        <v>2</v>
      </c>
      <c r="E631">
        <v>2023</v>
      </c>
      <c r="F631">
        <v>4</v>
      </c>
      <c r="G631" t="s">
        <v>7</v>
      </c>
      <c r="H631">
        <v>4.8</v>
      </c>
      <c r="I631">
        <f t="shared" si="9"/>
        <v>9.6</v>
      </c>
    </row>
    <row r="632" spans="1:9" x14ac:dyDescent="0.3">
      <c r="A632">
        <v>1061</v>
      </c>
      <c r="B632">
        <v>9</v>
      </c>
      <c r="C632" t="s">
        <v>6</v>
      </c>
      <c r="D632">
        <v>1</v>
      </c>
      <c r="E632">
        <v>2023</v>
      </c>
      <c r="F632">
        <v>9</v>
      </c>
      <c r="G632" t="s">
        <v>6</v>
      </c>
      <c r="H632">
        <v>7.7</v>
      </c>
      <c r="I632">
        <f t="shared" si="9"/>
        <v>7.7</v>
      </c>
    </row>
    <row r="633" spans="1:9" x14ac:dyDescent="0.3">
      <c r="A633">
        <v>1062</v>
      </c>
      <c r="B633">
        <v>3</v>
      </c>
      <c r="C633" t="s">
        <v>7</v>
      </c>
      <c r="D633">
        <v>2</v>
      </c>
      <c r="E633">
        <v>2023</v>
      </c>
      <c r="F633">
        <v>3</v>
      </c>
      <c r="G633" t="s">
        <v>7</v>
      </c>
      <c r="H633">
        <v>5.0999999999999996</v>
      </c>
      <c r="I633">
        <f t="shared" si="9"/>
        <v>10.199999999999999</v>
      </c>
    </row>
    <row r="634" spans="1:9" x14ac:dyDescent="0.3">
      <c r="A634">
        <v>1062</v>
      </c>
      <c r="B634">
        <v>13</v>
      </c>
      <c r="C634" t="s">
        <v>7</v>
      </c>
      <c r="D634">
        <v>1</v>
      </c>
      <c r="E634">
        <v>2023</v>
      </c>
      <c r="F634">
        <v>13</v>
      </c>
      <c r="G634" t="s">
        <v>7</v>
      </c>
      <c r="H634">
        <v>5.3</v>
      </c>
      <c r="I634">
        <f t="shared" si="9"/>
        <v>5.3</v>
      </c>
    </row>
    <row r="635" spans="1:9" x14ac:dyDescent="0.3">
      <c r="A635">
        <v>1063</v>
      </c>
      <c r="B635">
        <v>11</v>
      </c>
      <c r="C635" t="s">
        <v>6</v>
      </c>
      <c r="D635">
        <v>1</v>
      </c>
      <c r="E635">
        <v>2023</v>
      </c>
      <c r="F635">
        <v>11</v>
      </c>
      <c r="G635" t="s">
        <v>6</v>
      </c>
      <c r="H635">
        <v>7.5</v>
      </c>
      <c r="I635">
        <f t="shared" si="9"/>
        <v>7.5</v>
      </c>
    </row>
    <row r="636" spans="1:9" x14ac:dyDescent="0.3">
      <c r="A636">
        <v>1064</v>
      </c>
      <c r="B636">
        <v>2</v>
      </c>
      <c r="C636" t="s">
        <v>7</v>
      </c>
      <c r="D636">
        <v>4</v>
      </c>
      <c r="E636">
        <v>2023</v>
      </c>
      <c r="F636">
        <v>2</v>
      </c>
      <c r="G636" t="s">
        <v>7</v>
      </c>
      <c r="H636">
        <v>5.0999999999999996</v>
      </c>
      <c r="I636">
        <f t="shared" si="9"/>
        <v>20.399999999999999</v>
      </c>
    </row>
    <row r="637" spans="1:9" x14ac:dyDescent="0.3">
      <c r="A637">
        <v>1064</v>
      </c>
      <c r="B637">
        <v>7</v>
      </c>
      <c r="C637" t="s">
        <v>6</v>
      </c>
      <c r="D637">
        <v>3</v>
      </c>
      <c r="E637">
        <v>2023</v>
      </c>
      <c r="F637">
        <v>7</v>
      </c>
      <c r="G637" t="s">
        <v>6</v>
      </c>
      <c r="H637">
        <v>7.5</v>
      </c>
      <c r="I637">
        <f t="shared" si="9"/>
        <v>22.5</v>
      </c>
    </row>
    <row r="638" spans="1:9" x14ac:dyDescent="0.3">
      <c r="A638">
        <v>1065</v>
      </c>
      <c r="B638">
        <v>5</v>
      </c>
      <c r="C638" t="s">
        <v>7</v>
      </c>
      <c r="D638">
        <v>8</v>
      </c>
      <c r="E638">
        <v>2023</v>
      </c>
      <c r="F638">
        <v>5</v>
      </c>
      <c r="G638" t="s">
        <v>7</v>
      </c>
      <c r="H638">
        <v>5.3</v>
      </c>
      <c r="I638">
        <f t="shared" si="9"/>
        <v>42.4</v>
      </c>
    </row>
    <row r="639" spans="1:9" x14ac:dyDescent="0.3">
      <c r="A639">
        <v>1067</v>
      </c>
      <c r="B639">
        <v>3</v>
      </c>
      <c r="C639" t="s">
        <v>6</v>
      </c>
      <c r="D639">
        <v>2</v>
      </c>
      <c r="E639">
        <v>2023</v>
      </c>
      <c r="F639">
        <v>3</v>
      </c>
      <c r="G639" t="s">
        <v>6</v>
      </c>
      <c r="H639">
        <v>6.7</v>
      </c>
      <c r="I639">
        <f t="shared" si="9"/>
        <v>13.4</v>
      </c>
    </row>
    <row r="640" spans="1:9" x14ac:dyDescent="0.3">
      <c r="A640">
        <v>1067</v>
      </c>
      <c r="B640">
        <v>6</v>
      </c>
      <c r="C640" t="s">
        <v>7</v>
      </c>
      <c r="D640">
        <v>1</v>
      </c>
      <c r="E640">
        <v>2023</v>
      </c>
      <c r="F640">
        <v>6</v>
      </c>
      <c r="G640" t="s">
        <v>7</v>
      </c>
      <c r="H640">
        <v>5.3</v>
      </c>
      <c r="I640">
        <f t="shared" si="9"/>
        <v>5.3</v>
      </c>
    </row>
    <row r="641" spans="1:9" x14ac:dyDescent="0.3">
      <c r="A641">
        <v>1068</v>
      </c>
      <c r="B641">
        <v>4</v>
      </c>
      <c r="C641" t="s">
        <v>7</v>
      </c>
      <c r="D641">
        <v>2</v>
      </c>
      <c r="E641">
        <v>2023</v>
      </c>
      <c r="F641">
        <v>4</v>
      </c>
      <c r="G641" t="s">
        <v>7</v>
      </c>
      <c r="H641">
        <v>4.8</v>
      </c>
      <c r="I641">
        <f t="shared" si="9"/>
        <v>9.6</v>
      </c>
    </row>
    <row r="642" spans="1:9" x14ac:dyDescent="0.3">
      <c r="A642">
        <v>1068</v>
      </c>
      <c r="B642">
        <v>10</v>
      </c>
      <c r="C642" t="s">
        <v>6</v>
      </c>
      <c r="D642">
        <v>1</v>
      </c>
      <c r="E642">
        <v>2023</v>
      </c>
      <c r="F642">
        <v>10</v>
      </c>
      <c r="G642" t="s">
        <v>6</v>
      </c>
      <c r="H642">
        <v>7.5</v>
      </c>
      <c r="I642">
        <f t="shared" si="9"/>
        <v>7.5</v>
      </c>
    </row>
    <row r="643" spans="1:9" x14ac:dyDescent="0.3">
      <c r="A643">
        <v>1069</v>
      </c>
      <c r="B643">
        <v>9</v>
      </c>
      <c r="C643" t="s">
        <v>6</v>
      </c>
      <c r="D643">
        <v>1</v>
      </c>
      <c r="E643">
        <v>2023</v>
      </c>
      <c r="F643">
        <v>9</v>
      </c>
      <c r="G643" t="s">
        <v>6</v>
      </c>
      <c r="H643">
        <v>7.7</v>
      </c>
      <c r="I643">
        <f t="shared" ref="I643:I706" si="10">D643*H643</f>
        <v>7.7</v>
      </c>
    </row>
    <row r="644" spans="1:9" x14ac:dyDescent="0.3">
      <c r="A644">
        <v>1070</v>
      </c>
      <c r="B644">
        <v>3</v>
      </c>
      <c r="C644" t="s">
        <v>7</v>
      </c>
      <c r="D644">
        <v>1</v>
      </c>
      <c r="E644">
        <v>2023</v>
      </c>
      <c r="F644">
        <v>3</v>
      </c>
      <c r="G644" t="s">
        <v>7</v>
      </c>
      <c r="H644">
        <v>5.0999999999999996</v>
      </c>
      <c r="I644">
        <f t="shared" si="10"/>
        <v>5.0999999999999996</v>
      </c>
    </row>
    <row r="645" spans="1:9" x14ac:dyDescent="0.3">
      <c r="A645">
        <v>1072</v>
      </c>
      <c r="B645">
        <v>2</v>
      </c>
      <c r="C645" t="s">
        <v>7</v>
      </c>
      <c r="D645">
        <v>1</v>
      </c>
      <c r="E645">
        <v>2023</v>
      </c>
      <c r="F645">
        <v>2</v>
      </c>
      <c r="G645" t="s">
        <v>7</v>
      </c>
      <c r="H645">
        <v>5.0999999999999996</v>
      </c>
      <c r="I645">
        <f t="shared" si="10"/>
        <v>5.0999999999999996</v>
      </c>
    </row>
    <row r="646" spans="1:9" x14ac:dyDescent="0.3">
      <c r="A646">
        <v>1072</v>
      </c>
      <c r="B646">
        <v>7</v>
      </c>
      <c r="C646" t="s">
        <v>6</v>
      </c>
      <c r="D646">
        <v>1</v>
      </c>
      <c r="E646">
        <v>2023</v>
      </c>
      <c r="F646">
        <v>7</v>
      </c>
      <c r="G646" t="s">
        <v>6</v>
      </c>
      <c r="H646">
        <v>7.5</v>
      </c>
      <c r="I646">
        <f t="shared" si="10"/>
        <v>7.5</v>
      </c>
    </row>
    <row r="647" spans="1:9" x14ac:dyDescent="0.3">
      <c r="A647">
        <v>1074</v>
      </c>
      <c r="B647">
        <v>5</v>
      </c>
      <c r="C647" t="s">
        <v>7</v>
      </c>
      <c r="D647">
        <v>2</v>
      </c>
      <c r="E647">
        <v>2023</v>
      </c>
      <c r="F647">
        <v>5</v>
      </c>
      <c r="G647" t="s">
        <v>7</v>
      </c>
      <c r="H647">
        <v>5.3</v>
      </c>
      <c r="I647">
        <f t="shared" si="10"/>
        <v>10.6</v>
      </c>
    </row>
    <row r="648" spans="1:9" x14ac:dyDescent="0.3">
      <c r="A648">
        <v>1075</v>
      </c>
      <c r="B648">
        <v>6</v>
      </c>
      <c r="C648" t="s">
        <v>7</v>
      </c>
      <c r="D648">
        <v>1</v>
      </c>
      <c r="E648">
        <v>2023</v>
      </c>
      <c r="F648">
        <v>6</v>
      </c>
      <c r="G648" t="s">
        <v>7</v>
      </c>
      <c r="H648">
        <v>5.3</v>
      </c>
      <c r="I648">
        <f t="shared" si="10"/>
        <v>5.3</v>
      </c>
    </row>
    <row r="649" spans="1:9" x14ac:dyDescent="0.3">
      <c r="A649">
        <v>1075</v>
      </c>
      <c r="B649">
        <v>7</v>
      </c>
      <c r="C649" t="s">
        <v>7</v>
      </c>
      <c r="D649">
        <v>1</v>
      </c>
      <c r="E649">
        <v>2023</v>
      </c>
      <c r="F649">
        <v>7</v>
      </c>
      <c r="G649" t="s">
        <v>7</v>
      </c>
      <c r="H649">
        <v>5.3</v>
      </c>
      <c r="I649">
        <f t="shared" si="10"/>
        <v>5.3</v>
      </c>
    </row>
    <row r="650" spans="1:9" x14ac:dyDescent="0.3">
      <c r="A650">
        <v>1076</v>
      </c>
      <c r="B650">
        <v>1</v>
      </c>
      <c r="C650" t="s">
        <v>7</v>
      </c>
      <c r="D650">
        <v>1</v>
      </c>
      <c r="E650">
        <v>2023</v>
      </c>
      <c r="F650">
        <v>1</v>
      </c>
      <c r="G650" t="s">
        <v>7</v>
      </c>
      <c r="H650">
        <v>5.0999999999999996</v>
      </c>
      <c r="I650">
        <f t="shared" si="10"/>
        <v>5.0999999999999996</v>
      </c>
    </row>
    <row r="651" spans="1:9" x14ac:dyDescent="0.3">
      <c r="A651">
        <v>1076</v>
      </c>
      <c r="B651">
        <v>12</v>
      </c>
      <c r="C651" t="s">
        <v>6</v>
      </c>
      <c r="D651">
        <v>1</v>
      </c>
      <c r="E651">
        <v>2023</v>
      </c>
      <c r="F651">
        <v>12</v>
      </c>
      <c r="G651" t="s">
        <v>6</v>
      </c>
      <c r="H651">
        <v>7.5</v>
      </c>
      <c r="I651">
        <f t="shared" si="10"/>
        <v>7.5</v>
      </c>
    </row>
    <row r="652" spans="1:9" x14ac:dyDescent="0.3">
      <c r="A652">
        <v>1077</v>
      </c>
      <c r="B652">
        <v>9</v>
      </c>
      <c r="C652" t="s">
        <v>6</v>
      </c>
      <c r="D652">
        <v>1</v>
      </c>
      <c r="E652">
        <v>2023</v>
      </c>
      <c r="F652">
        <v>9</v>
      </c>
      <c r="G652" t="s">
        <v>6</v>
      </c>
      <c r="H652">
        <v>7.7</v>
      </c>
      <c r="I652">
        <f t="shared" si="10"/>
        <v>7.7</v>
      </c>
    </row>
    <row r="653" spans="1:9" x14ac:dyDescent="0.3">
      <c r="A653">
        <v>1078</v>
      </c>
      <c r="B653">
        <v>10</v>
      </c>
      <c r="C653" t="s">
        <v>6</v>
      </c>
      <c r="D653">
        <v>2</v>
      </c>
      <c r="E653">
        <v>2023</v>
      </c>
      <c r="F653">
        <v>10</v>
      </c>
      <c r="G653" t="s">
        <v>6</v>
      </c>
      <c r="H653">
        <v>7.5</v>
      </c>
      <c r="I653">
        <f t="shared" si="10"/>
        <v>15</v>
      </c>
    </row>
    <row r="654" spans="1:9" x14ac:dyDescent="0.3">
      <c r="A654">
        <v>1079</v>
      </c>
      <c r="B654">
        <v>7</v>
      </c>
      <c r="C654" t="s">
        <v>6</v>
      </c>
      <c r="D654">
        <v>1</v>
      </c>
      <c r="E654">
        <v>2023</v>
      </c>
      <c r="F654">
        <v>7</v>
      </c>
      <c r="G654" t="s">
        <v>6</v>
      </c>
      <c r="H654">
        <v>7.5</v>
      </c>
      <c r="I654">
        <f t="shared" si="10"/>
        <v>7.5</v>
      </c>
    </row>
    <row r="655" spans="1:9" x14ac:dyDescent="0.3">
      <c r="A655">
        <v>1079</v>
      </c>
      <c r="B655">
        <v>9</v>
      </c>
      <c r="C655" t="s">
        <v>7</v>
      </c>
      <c r="D655">
        <v>1</v>
      </c>
      <c r="E655">
        <v>2023</v>
      </c>
      <c r="F655">
        <v>9</v>
      </c>
      <c r="G655" t="s">
        <v>7</v>
      </c>
      <c r="H655">
        <v>5.2</v>
      </c>
      <c r="I655">
        <f t="shared" si="10"/>
        <v>5.2</v>
      </c>
    </row>
    <row r="656" spans="1:9" x14ac:dyDescent="0.3">
      <c r="A656">
        <v>1082</v>
      </c>
      <c r="B656">
        <v>9</v>
      </c>
      <c r="C656" t="s">
        <v>6</v>
      </c>
      <c r="D656">
        <v>1</v>
      </c>
      <c r="E656">
        <v>2023</v>
      </c>
      <c r="F656">
        <v>9</v>
      </c>
      <c r="G656" t="s">
        <v>6</v>
      </c>
      <c r="H656">
        <v>7.7</v>
      </c>
      <c r="I656">
        <f t="shared" si="10"/>
        <v>7.7</v>
      </c>
    </row>
    <row r="657" spans="1:9" x14ac:dyDescent="0.3">
      <c r="A657">
        <v>1082</v>
      </c>
      <c r="B657">
        <v>10</v>
      </c>
      <c r="C657" t="s">
        <v>6</v>
      </c>
      <c r="D657">
        <v>1</v>
      </c>
      <c r="E657">
        <v>2023</v>
      </c>
      <c r="F657">
        <v>10</v>
      </c>
      <c r="G657" t="s">
        <v>6</v>
      </c>
      <c r="H657">
        <v>7.5</v>
      </c>
      <c r="I657">
        <f t="shared" si="10"/>
        <v>7.5</v>
      </c>
    </row>
    <row r="658" spans="1:9" x14ac:dyDescent="0.3">
      <c r="A658">
        <v>1084</v>
      </c>
      <c r="B658">
        <v>2</v>
      </c>
      <c r="C658" t="s">
        <v>7</v>
      </c>
      <c r="D658">
        <v>1</v>
      </c>
      <c r="E658">
        <v>2023</v>
      </c>
      <c r="F658">
        <v>2</v>
      </c>
      <c r="G658" t="s">
        <v>7</v>
      </c>
      <c r="H658">
        <v>5.0999999999999996</v>
      </c>
      <c r="I658">
        <f t="shared" si="10"/>
        <v>5.0999999999999996</v>
      </c>
    </row>
    <row r="659" spans="1:9" x14ac:dyDescent="0.3">
      <c r="A659">
        <v>1085</v>
      </c>
      <c r="B659">
        <v>14</v>
      </c>
      <c r="C659" t="s">
        <v>7</v>
      </c>
      <c r="D659">
        <v>1</v>
      </c>
      <c r="E659">
        <v>2024</v>
      </c>
      <c r="F659">
        <v>14</v>
      </c>
      <c r="G659" t="s">
        <v>7</v>
      </c>
      <c r="H659">
        <v>4.0999999999999996</v>
      </c>
      <c r="I659">
        <f t="shared" si="10"/>
        <v>4.0999999999999996</v>
      </c>
    </row>
    <row r="660" spans="1:9" x14ac:dyDescent="0.3">
      <c r="A660">
        <v>1086</v>
      </c>
      <c r="B660">
        <v>10</v>
      </c>
      <c r="C660" t="s">
        <v>7</v>
      </c>
      <c r="D660">
        <v>2</v>
      </c>
      <c r="E660">
        <v>2024</v>
      </c>
      <c r="F660">
        <v>10</v>
      </c>
      <c r="G660" t="s">
        <v>7</v>
      </c>
      <c r="H660">
        <v>5.3</v>
      </c>
      <c r="I660">
        <f t="shared" si="10"/>
        <v>10.6</v>
      </c>
    </row>
    <row r="661" spans="1:9" x14ac:dyDescent="0.3">
      <c r="A661">
        <v>1087</v>
      </c>
      <c r="B661">
        <v>9</v>
      </c>
      <c r="C661" t="s">
        <v>6</v>
      </c>
      <c r="D661">
        <v>2</v>
      </c>
      <c r="E661">
        <v>2024</v>
      </c>
      <c r="F661">
        <v>9</v>
      </c>
      <c r="G661" t="s">
        <v>6</v>
      </c>
      <c r="H661">
        <v>7.7</v>
      </c>
      <c r="I661">
        <f t="shared" si="10"/>
        <v>15.4</v>
      </c>
    </row>
    <row r="662" spans="1:9" x14ac:dyDescent="0.3">
      <c r="A662">
        <v>1088</v>
      </c>
      <c r="B662">
        <v>8</v>
      </c>
      <c r="C662" t="s">
        <v>6</v>
      </c>
      <c r="D662">
        <v>1</v>
      </c>
      <c r="E662">
        <v>2024</v>
      </c>
      <c r="F662">
        <v>8</v>
      </c>
      <c r="G662" t="s">
        <v>6</v>
      </c>
      <c r="H662">
        <v>7.7</v>
      </c>
      <c r="I662">
        <f t="shared" si="10"/>
        <v>7.7</v>
      </c>
    </row>
    <row r="663" spans="1:9" x14ac:dyDescent="0.3">
      <c r="A663">
        <v>1089</v>
      </c>
      <c r="B663">
        <v>1</v>
      </c>
      <c r="C663" t="s">
        <v>7</v>
      </c>
      <c r="D663">
        <v>2</v>
      </c>
      <c r="E663">
        <v>2024</v>
      </c>
      <c r="F663">
        <v>1</v>
      </c>
      <c r="G663" t="s">
        <v>7</v>
      </c>
      <c r="H663">
        <v>5.2</v>
      </c>
      <c r="I663">
        <f t="shared" si="10"/>
        <v>10.4</v>
      </c>
    </row>
    <row r="664" spans="1:9" x14ac:dyDescent="0.3">
      <c r="A664">
        <v>1090</v>
      </c>
      <c r="B664">
        <v>9</v>
      </c>
      <c r="C664" t="s">
        <v>8</v>
      </c>
      <c r="D664">
        <v>2</v>
      </c>
      <c r="E664">
        <v>2024</v>
      </c>
      <c r="F664">
        <v>9</v>
      </c>
      <c r="G664" t="s">
        <v>8</v>
      </c>
      <c r="H664">
        <v>4.0999999999999996</v>
      </c>
      <c r="I664">
        <f t="shared" si="10"/>
        <v>8.1999999999999993</v>
      </c>
    </row>
    <row r="665" spans="1:9" x14ac:dyDescent="0.3">
      <c r="A665">
        <v>1091</v>
      </c>
      <c r="B665">
        <v>4</v>
      </c>
      <c r="C665" t="s">
        <v>7</v>
      </c>
      <c r="D665">
        <v>1</v>
      </c>
      <c r="E665">
        <v>2024</v>
      </c>
      <c r="F665">
        <v>4</v>
      </c>
      <c r="G665" t="s">
        <v>7</v>
      </c>
      <c r="H665">
        <v>4.8</v>
      </c>
      <c r="I665">
        <f t="shared" si="10"/>
        <v>4.8</v>
      </c>
    </row>
    <row r="666" spans="1:9" x14ac:dyDescent="0.3">
      <c r="A666">
        <v>1092</v>
      </c>
      <c r="B666">
        <v>1</v>
      </c>
      <c r="C666" t="s">
        <v>6</v>
      </c>
      <c r="D666">
        <v>1</v>
      </c>
      <c r="E666">
        <v>2024</v>
      </c>
      <c r="F666">
        <v>1</v>
      </c>
      <c r="G666" t="s">
        <v>6</v>
      </c>
      <c r="H666">
        <v>6.8</v>
      </c>
      <c r="I666">
        <f t="shared" si="10"/>
        <v>6.8</v>
      </c>
    </row>
    <row r="667" spans="1:9" x14ac:dyDescent="0.3">
      <c r="A667">
        <v>1093</v>
      </c>
      <c r="B667">
        <v>12</v>
      </c>
      <c r="C667" t="s">
        <v>7</v>
      </c>
      <c r="D667">
        <v>1</v>
      </c>
      <c r="E667">
        <v>2024</v>
      </c>
      <c r="F667">
        <v>12</v>
      </c>
      <c r="G667" t="s">
        <v>7</v>
      </c>
      <c r="H667">
        <v>5.3</v>
      </c>
      <c r="I667">
        <f t="shared" si="10"/>
        <v>5.3</v>
      </c>
    </row>
    <row r="668" spans="1:9" x14ac:dyDescent="0.3">
      <c r="A668">
        <v>1093</v>
      </c>
      <c r="B668">
        <v>14</v>
      </c>
      <c r="C668" t="s">
        <v>8</v>
      </c>
      <c r="D668">
        <v>1</v>
      </c>
      <c r="E668">
        <v>2024</v>
      </c>
      <c r="F668">
        <v>14</v>
      </c>
      <c r="G668" t="s">
        <v>8</v>
      </c>
      <c r="H668">
        <v>3</v>
      </c>
      <c r="I668">
        <f t="shared" si="10"/>
        <v>3</v>
      </c>
    </row>
    <row r="669" spans="1:9" x14ac:dyDescent="0.3">
      <c r="A669">
        <v>1094</v>
      </c>
      <c r="B669">
        <v>6</v>
      </c>
      <c r="C669" t="s">
        <v>7</v>
      </c>
      <c r="D669">
        <v>5</v>
      </c>
      <c r="E669">
        <v>2024</v>
      </c>
      <c r="F669">
        <v>6</v>
      </c>
      <c r="G669" t="s">
        <v>7</v>
      </c>
      <c r="H669">
        <v>5.3</v>
      </c>
      <c r="I669">
        <f t="shared" si="10"/>
        <v>26.5</v>
      </c>
    </row>
    <row r="670" spans="1:9" x14ac:dyDescent="0.3">
      <c r="A670">
        <v>1095</v>
      </c>
      <c r="B670">
        <v>4</v>
      </c>
      <c r="C670" t="s">
        <v>6</v>
      </c>
      <c r="D670">
        <v>3</v>
      </c>
      <c r="E670">
        <v>2024</v>
      </c>
      <c r="F670">
        <v>4</v>
      </c>
      <c r="G670" t="s">
        <v>6</v>
      </c>
      <c r="H670">
        <v>6.8</v>
      </c>
      <c r="I670">
        <f t="shared" si="10"/>
        <v>20.399999999999999</v>
      </c>
    </row>
    <row r="671" spans="1:9" x14ac:dyDescent="0.3">
      <c r="A671">
        <v>1096</v>
      </c>
      <c r="B671">
        <v>4</v>
      </c>
      <c r="C671" t="s">
        <v>6</v>
      </c>
      <c r="D671">
        <v>1</v>
      </c>
      <c r="E671">
        <v>2024</v>
      </c>
      <c r="F671">
        <v>4</v>
      </c>
      <c r="G671" t="s">
        <v>6</v>
      </c>
      <c r="H671">
        <v>6.8</v>
      </c>
      <c r="I671">
        <f t="shared" si="10"/>
        <v>6.8</v>
      </c>
    </row>
    <row r="672" spans="1:9" x14ac:dyDescent="0.3">
      <c r="A672">
        <v>1097</v>
      </c>
      <c r="B672">
        <v>5</v>
      </c>
      <c r="C672" t="s">
        <v>9</v>
      </c>
      <c r="D672">
        <v>1</v>
      </c>
      <c r="E672">
        <v>2024</v>
      </c>
      <c r="F672">
        <v>5</v>
      </c>
      <c r="G672" t="s">
        <v>9</v>
      </c>
      <c r="H672">
        <v>8.9</v>
      </c>
      <c r="I672">
        <f t="shared" si="10"/>
        <v>8.9</v>
      </c>
    </row>
    <row r="673" spans="1:9" x14ac:dyDescent="0.3">
      <c r="A673">
        <v>1098</v>
      </c>
      <c r="B673">
        <v>8</v>
      </c>
      <c r="C673" t="s">
        <v>8</v>
      </c>
      <c r="D673">
        <v>1</v>
      </c>
      <c r="E673">
        <v>2024</v>
      </c>
      <c r="F673">
        <v>8</v>
      </c>
      <c r="G673" t="s">
        <v>8</v>
      </c>
      <c r="H673">
        <v>4.2</v>
      </c>
      <c r="I673">
        <f t="shared" si="10"/>
        <v>4.2</v>
      </c>
    </row>
    <row r="674" spans="1:9" x14ac:dyDescent="0.3">
      <c r="A674">
        <v>1099</v>
      </c>
      <c r="B674">
        <v>6</v>
      </c>
      <c r="C674" t="s">
        <v>6</v>
      </c>
      <c r="D674">
        <v>1</v>
      </c>
      <c r="E674">
        <v>2024</v>
      </c>
      <c r="F674">
        <v>6</v>
      </c>
      <c r="G674" t="s">
        <v>6</v>
      </c>
      <c r="H674">
        <v>7.5</v>
      </c>
      <c r="I674">
        <f t="shared" si="10"/>
        <v>7.5</v>
      </c>
    </row>
    <row r="675" spans="1:9" x14ac:dyDescent="0.3">
      <c r="A675">
        <v>1100</v>
      </c>
      <c r="B675">
        <v>2</v>
      </c>
      <c r="C675" t="s">
        <v>6</v>
      </c>
      <c r="D675">
        <v>1</v>
      </c>
      <c r="E675">
        <v>2024</v>
      </c>
      <c r="F675">
        <v>2</v>
      </c>
      <c r="G675" t="s">
        <v>6</v>
      </c>
      <c r="H675">
        <v>6.8</v>
      </c>
      <c r="I675">
        <f t="shared" si="10"/>
        <v>6.8</v>
      </c>
    </row>
    <row r="676" spans="1:9" x14ac:dyDescent="0.3">
      <c r="A676">
        <v>1101</v>
      </c>
      <c r="B676">
        <v>7</v>
      </c>
      <c r="C676" t="s">
        <v>7</v>
      </c>
      <c r="D676">
        <v>1</v>
      </c>
      <c r="E676">
        <v>2024</v>
      </c>
      <c r="F676">
        <v>7</v>
      </c>
      <c r="G676" t="s">
        <v>7</v>
      </c>
      <c r="H676">
        <v>5.3</v>
      </c>
      <c r="I676">
        <f t="shared" si="10"/>
        <v>5.3</v>
      </c>
    </row>
    <row r="677" spans="1:9" x14ac:dyDescent="0.3">
      <c r="A677">
        <v>1101</v>
      </c>
      <c r="B677">
        <v>13</v>
      </c>
      <c r="C677" t="s">
        <v>6</v>
      </c>
      <c r="D677">
        <v>1</v>
      </c>
      <c r="E677">
        <v>2024</v>
      </c>
      <c r="F677">
        <v>13</v>
      </c>
      <c r="G677" t="s">
        <v>6</v>
      </c>
      <c r="H677">
        <v>7.5</v>
      </c>
      <c r="I677">
        <f t="shared" si="10"/>
        <v>7.5</v>
      </c>
    </row>
    <row r="678" spans="1:9" x14ac:dyDescent="0.3">
      <c r="A678">
        <v>1102</v>
      </c>
      <c r="B678">
        <v>5</v>
      </c>
      <c r="C678" t="s">
        <v>8</v>
      </c>
      <c r="D678">
        <v>1</v>
      </c>
      <c r="E678">
        <v>2024</v>
      </c>
      <c r="F678">
        <v>5</v>
      </c>
      <c r="G678" t="s">
        <v>8</v>
      </c>
      <c r="H678">
        <v>4.2</v>
      </c>
      <c r="I678">
        <f t="shared" si="10"/>
        <v>4.2</v>
      </c>
    </row>
    <row r="679" spans="1:9" x14ac:dyDescent="0.3">
      <c r="A679">
        <v>1102</v>
      </c>
      <c r="B679">
        <v>12</v>
      </c>
      <c r="C679" t="s">
        <v>6</v>
      </c>
      <c r="D679">
        <v>1</v>
      </c>
      <c r="E679">
        <v>2024</v>
      </c>
      <c r="F679">
        <v>12</v>
      </c>
      <c r="G679" t="s">
        <v>6</v>
      </c>
      <c r="H679">
        <v>7.5</v>
      </c>
      <c r="I679">
        <f t="shared" si="10"/>
        <v>7.5</v>
      </c>
    </row>
    <row r="680" spans="1:9" x14ac:dyDescent="0.3">
      <c r="A680">
        <v>1103</v>
      </c>
      <c r="B680">
        <v>14</v>
      </c>
      <c r="C680" t="s">
        <v>7</v>
      </c>
      <c r="D680">
        <v>1</v>
      </c>
      <c r="E680">
        <v>2024</v>
      </c>
      <c r="F680">
        <v>14</v>
      </c>
      <c r="G680" t="s">
        <v>7</v>
      </c>
      <c r="H680">
        <v>4.0999999999999996</v>
      </c>
      <c r="I680">
        <f t="shared" si="10"/>
        <v>4.0999999999999996</v>
      </c>
    </row>
    <row r="681" spans="1:9" x14ac:dyDescent="0.3">
      <c r="A681">
        <v>1104</v>
      </c>
      <c r="B681">
        <v>1</v>
      </c>
      <c r="C681" t="s">
        <v>9</v>
      </c>
      <c r="D681">
        <v>1</v>
      </c>
      <c r="E681">
        <v>2024</v>
      </c>
      <c r="F681">
        <v>1</v>
      </c>
      <c r="G681" t="s">
        <v>9</v>
      </c>
      <c r="H681">
        <v>9.9</v>
      </c>
      <c r="I681">
        <f t="shared" si="10"/>
        <v>9.9</v>
      </c>
    </row>
    <row r="682" spans="1:9" x14ac:dyDescent="0.3">
      <c r="A682">
        <v>1105</v>
      </c>
      <c r="B682">
        <v>3</v>
      </c>
      <c r="C682" t="s">
        <v>6</v>
      </c>
      <c r="D682">
        <v>1</v>
      </c>
      <c r="E682">
        <v>2024</v>
      </c>
      <c r="F682">
        <v>3</v>
      </c>
      <c r="G682" t="s">
        <v>6</v>
      </c>
      <c r="H682">
        <v>6.8</v>
      </c>
      <c r="I682">
        <f t="shared" si="10"/>
        <v>6.8</v>
      </c>
    </row>
    <row r="683" spans="1:9" x14ac:dyDescent="0.3">
      <c r="A683">
        <v>1106</v>
      </c>
      <c r="B683">
        <v>5</v>
      </c>
      <c r="C683" t="s">
        <v>7</v>
      </c>
      <c r="D683">
        <v>1</v>
      </c>
      <c r="E683">
        <v>2024</v>
      </c>
      <c r="F683">
        <v>5</v>
      </c>
      <c r="G683" t="s">
        <v>7</v>
      </c>
      <c r="H683">
        <v>5.3</v>
      </c>
      <c r="I683">
        <f t="shared" si="10"/>
        <v>5.3</v>
      </c>
    </row>
    <row r="684" spans="1:9" x14ac:dyDescent="0.3">
      <c r="A684">
        <v>1106</v>
      </c>
      <c r="B684">
        <v>14</v>
      </c>
      <c r="C684" t="s">
        <v>7</v>
      </c>
      <c r="D684">
        <v>2</v>
      </c>
      <c r="E684">
        <v>2024</v>
      </c>
      <c r="F684">
        <v>14</v>
      </c>
      <c r="G684" t="s">
        <v>7</v>
      </c>
      <c r="H684">
        <v>4.0999999999999996</v>
      </c>
      <c r="I684">
        <f t="shared" si="10"/>
        <v>8.1999999999999993</v>
      </c>
    </row>
    <row r="685" spans="1:9" x14ac:dyDescent="0.3">
      <c r="A685">
        <v>1107</v>
      </c>
      <c r="B685">
        <v>1</v>
      </c>
      <c r="C685" t="s">
        <v>6</v>
      </c>
      <c r="D685">
        <v>3</v>
      </c>
      <c r="E685">
        <v>2024</v>
      </c>
      <c r="F685">
        <v>1</v>
      </c>
      <c r="G685" t="s">
        <v>6</v>
      </c>
      <c r="H685">
        <v>6.8</v>
      </c>
      <c r="I685">
        <f t="shared" si="10"/>
        <v>20.399999999999999</v>
      </c>
    </row>
    <row r="686" spans="1:9" x14ac:dyDescent="0.3">
      <c r="A686">
        <v>1108</v>
      </c>
      <c r="B686">
        <v>8</v>
      </c>
      <c r="C686" t="s">
        <v>6</v>
      </c>
      <c r="D686">
        <v>1</v>
      </c>
      <c r="E686">
        <v>2024</v>
      </c>
      <c r="F686">
        <v>8</v>
      </c>
      <c r="G686" t="s">
        <v>6</v>
      </c>
      <c r="H686">
        <v>7.7</v>
      </c>
      <c r="I686">
        <f t="shared" si="10"/>
        <v>7.7</v>
      </c>
    </row>
    <row r="687" spans="1:9" x14ac:dyDescent="0.3">
      <c r="A687">
        <v>1109</v>
      </c>
      <c r="B687">
        <v>5</v>
      </c>
      <c r="C687" t="s">
        <v>7</v>
      </c>
      <c r="D687">
        <v>1</v>
      </c>
      <c r="E687">
        <v>2024</v>
      </c>
      <c r="F687">
        <v>5</v>
      </c>
      <c r="G687" t="s">
        <v>7</v>
      </c>
      <c r="H687">
        <v>5.3</v>
      </c>
      <c r="I687">
        <f t="shared" si="10"/>
        <v>5.3</v>
      </c>
    </row>
    <row r="688" spans="1:9" x14ac:dyDescent="0.3">
      <c r="A688">
        <v>1110</v>
      </c>
      <c r="B688">
        <v>1</v>
      </c>
      <c r="C688" t="s">
        <v>9</v>
      </c>
      <c r="D688">
        <v>1</v>
      </c>
      <c r="E688">
        <v>2024</v>
      </c>
      <c r="F688">
        <v>1</v>
      </c>
      <c r="G688" t="s">
        <v>9</v>
      </c>
      <c r="H688">
        <v>9.9</v>
      </c>
      <c r="I688">
        <f t="shared" si="10"/>
        <v>9.9</v>
      </c>
    </row>
    <row r="689" spans="1:9" x14ac:dyDescent="0.3">
      <c r="A689">
        <v>1111</v>
      </c>
      <c r="B689">
        <v>4</v>
      </c>
      <c r="C689" t="s">
        <v>7</v>
      </c>
      <c r="D689">
        <v>1</v>
      </c>
      <c r="E689">
        <v>2024</v>
      </c>
      <c r="F689">
        <v>4</v>
      </c>
      <c r="G689" t="s">
        <v>7</v>
      </c>
      <c r="H689">
        <v>4.8</v>
      </c>
      <c r="I689">
        <f t="shared" si="10"/>
        <v>4.8</v>
      </c>
    </row>
    <row r="690" spans="1:9" x14ac:dyDescent="0.3">
      <c r="A690">
        <v>1112</v>
      </c>
      <c r="B690">
        <v>8</v>
      </c>
      <c r="C690" t="s">
        <v>7</v>
      </c>
      <c r="D690">
        <v>2</v>
      </c>
      <c r="E690">
        <v>2024</v>
      </c>
      <c r="F690">
        <v>8</v>
      </c>
      <c r="G690" t="s">
        <v>7</v>
      </c>
      <c r="H690">
        <v>5.2</v>
      </c>
      <c r="I690">
        <f t="shared" si="10"/>
        <v>10.4</v>
      </c>
    </row>
    <row r="691" spans="1:9" x14ac:dyDescent="0.3">
      <c r="A691">
        <v>1113</v>
      </c>
      <c r="B691">
        <v>2</v>
      </c>
      <c r="C691" t="s">
        <v>8</v>
      </c>
      <c r="D691">
        <v>1</v>
      </c>
      <c r="E691">
        <v>2024</v>
      </c>
      <c r="F691">
        <v>2</v>
      </c>
      <c r="G691" t="s">
        <v>8</v>
      </c>
      <c r="H691">
        <v>4</v>
      </c>
      <c r="I691">
        <f t="shared" si="10"/>
        <v>4</v>
      </c>
    </row>
    <row r="692" spans="1:9" x14ac:dyDescent="0.3">
      <c r="A692">
        <v>1114</v>
      </c>
      <c r="B692">
        <v>1</v>
      </c>
      <c r="C692" t="s">
        <v>7</v>
      </c>
      <c r="D692">
        <v>2</v>
      </c>
      <c r="E692">
        <v>2024</v>
      </c>
      <c r="F692">
        <v>1</v>
      </c>
      <c r="G692" t="s">
        <v>7</v>
      </c>
      <c r="H692">
        <v>5.2</v>
      </c>
      <c r="I692">
        <f t="shared" si="10"/>
        <v>10.4</v>
      </c>
    </row>
    <row r="693" spans="1:9" x14ac:dyDescent="0.3">
      <c r="A693">
        <v>1115</v>
      </c>
      <c r="B693">
        <v>9</v>
      </c>
      <c r="C693" t="s">
        <v>6</v>
      </c>
      <c r="D693">
        <v>3</v>
      </c>
      <c r="E693">
        <v>2024</v>
      </c>
      <c r="F693">
        <v>9</v>
      </c>
      <c r="G693" t="s">
        <v>6</v>
      </c>
      <c r="H693">
        <v>7.7</v>
      </c>
      <c r="I693">
        <f t="shared" si="10"/>
        <v>23.1</v>
      </c>
    </row>
    <row r="694" spans="1:9" x14ac:dyDescent="0.3">
      <c r="A694">
        <v>1116</v>
      </c>
      <c r="B694">
        <v>8</v>
      </c>
      <c r="C694" t="s">
        <v>7</v>
      </c>
      <c r="D694">
        <v>1</v>
      </c>
      <c r="E694">
        <v>2024</v>
      </c>
      <c r="F694">
        <v>8</v>
      </c>
      <c r="G694" t="s">
        <v>7</v>
      </c>
      <c r="H694">
        <v>5.2</v>
      </c>
      <c r="I694">
        <f t="shared" si="10"/>
        <v>5.2</v>
      </c>
    </row>
    <row r="695" spans="1:9" x14ac:dyDescent="0.3">
      <c r="A695">
        <v>1117</v>
      </c>
      <c r="B695">
        <v>1</v>
      </c>
      <c r="C695" t="s">
        <v>8</v>
      </c>
      <c r="D695">
        <v>1</v>
      </c>
      <c r="E695">
        <v>2024</v>
      </c>
      <c r="F695">
        <v>1</v>
      </c>
      <c r="G695" t="s">
        <v>8</v>
      </c>
      <c r="H695">
        <v>4</v>
      </c>
      <c r="I695">
        <f t="shared" si="10"/>
        <v>4</v>
      </c>
    </row>
    <row r="696" spans="1:9" x14ac:dyDescent="0.3">
      <c r="A696">
        <v>1118</v>
      </c>
      <c r="B696">
        <v>9</v>
      </c>
      <c r="C696" t="s">
        <v>8</v>
      </c>
      <c r="D696">
        <v>1</v>
      </c>
      <c r="E696">
        <v>2024</v>
      </c>
      <c r="F696">
        <v>9</v>
      </c>
      <c r="G696" t="s">
        <v>8</v>
      </c>
      <c r="H696">
        <v>4.0999999999999996</v>
      </c>
      <c r="I696">
        <f t="shared" si="10"/>
        <v>4.0999999999999996</v>
      </c>
    </row>
    <row r="697" spans="1:9" x14ac:dyDescent="0.3">
      <c r="A697">
        <v>1119</v>
      </c>
      <c r="B697">
        <v>5</v>
      </c>
      <c r="C697" t="s">
        <v>6</v>
      </c>
      <c r="D697">
        <v>1</v>
      </c>
      <c r="E697">
        <v>2024</v>
      </c>
      <c r="F697">
        <v>5</v>
      </c>
      <c r="G697" t="s">
        <v>6</v>
      </c>
      <c r="H697">
        <v>7.5</v>
      </c>
      <c r="I697">
        <f t="shared" si="10"/>
        <v>7.5</v>
      </c>
    </row>
    <row r="698" spans="1:9" x14ac:dyDescent="0.3">
      <c r="A698">
        <v>1120</v>
      </c>
      <c r="B698">
        <v>9</v>
      </c>
      <c r="C698" t="s">
        <v>7</v>
      </c>
      <c r="D698">
        <v>1</v>
      </c>
      <c r="E698">
        <v>2024</v>
      </c>
      <c r="F698">
        <v>9</v>
      </c>
      <c r="G698" t="s">
        <v>7</v>
      </c>
      <c r="H698">
        <v>5.2</v>
      </c>
      <c r="I698">
        <f t="shared" si="10"/>
        <v>5.2</v>
      </c>
    </row>
    <row r="699" spans="1:9" x14ac:dyDescent="0.3">
      <c r="A699">
        <v>1121</v>
      </c>
      <c r="B699">
        <v>14</v>
      </c>
      <c r="C699" t="s">
        <v>7</v>
      </c>
      <c r="D699">
        <v>2</v>
      </c>
      <c r="E699">
        <v>2024</v>
      </c>
      <c r="F699">
        <v>14</v>
      </c>
      <c r="G699" t="s">
        <v>7</v>
      </c>
      <c r="H699">
        <v>4.0999999999999996</v>
      </c>
      <c r="I699">
        <f t="shared" si="10"/>
        <v>8.1999999999999993</v>
      </c>
    </row>
    <row r="700" spans="1:9" x14ac:dyDescent="0.3">
      <c r="A700">
        <v>1122</v>
      </c>
      <c r="B700">
        <v>7</v>
      </c>
      <c r="C700" t="s">
        <v>6</v>
      </c>
      <c r="D700">
        <v>2</v>
      </c>
      <c r="E700">
        <v>2024</v>
      </c>
      <c r="F700">
        <v>7</v>
      </c>
      <c r="G700" t="s">
        <v>6</v>
      </c>
      <c r="H700">
        <v>7.5</v>
      </c>
      <c r="I700">
        <f t="shared" si="10"/>
        <v>15</v>
      </c>
    </row>
    <row r="701" spans="1:9" x14ac:dyDescent="0.3">
      <c r="A701">
        <v>1123</v>
      </c>
      <c r="B701">
        <v>12</v>
      </c>
      <c r="C701" t="s">
        <v>6</v>
      </c>
      <c r="D701">
        <v>3</v>
      </c>
      <c r="E701">
        <v>2024</v>
      </c>
      <c r="F701">
        <v>12</v>
      </c>
      <c r="G701" t="s">
        <v>6</v>
      </c>
      <c r="H701">
        <v>7.5</v>
      </c>
      <c r="I701">
        <f t="shared" si="10"/>
        <v>22.5</v>
      </c>
    </row>
    <row r="702" spans="1:9" x14ac:dyDescent="0.3">
      <c r="A702">
        <v>1124</v>
      </c>
      <c r="B702">
        <v>5</v>
      </c>
      <c r="C702" t="s">
        <v>7</v>
      </c>
      <c r="D702">
        <v>1</v>
      </c>
      <c r="E702">
        <v>2024</v>
      </c>
      <c r="F702">
        <v>5</v>
      </c>
      <c r="G702" t="s">
        <v>7</v>
      </c>
      <c r="H702">
        <v>5.3</v>
      </c>
      <c r="I702">
        <f t="shared" si="10"/>
        <v>5.3</v>
      </c>
    </row>
    <row r="703" spans="1:9" x14ac:dyDescent="0.3">
      <c r="A703">
        <v>1125</v>
      </c>
      <c r="B703">
        <v>10</v>
      </c>
      <c r="C703" t="s">
        <v>6</v>
      </c>
      <c r="D703">
        <v>2</v>
      </c>
      <c r="E703">
        <v>2024</v>
      </c>
      <c r="F703">
        <v>10</v>
      </c>
      <c r="G703" t="s">
        <v>6</v>
      </c>
      <c r="H703">
        <v>7.5</v>
      </c>
      <c r="I703">
        <f t="shared" si="10"/>
        <v>15</v>
      </c>
    </row>
    <row r="704" spans="1:9" x14ac:dyDescent="0.3">
      <c r="A704">
        <v>1126</v>
      </c>
      <c r="B704">
        <v>3</v>
      </c>
      <c r="C704" t="s">
        <v>7</v>
      </c>
      <c r="D704">
        <v>1</v>
      </c>
      <c r="E704">
        <v>2024</v>
      </c>
      <c r="F704">
        <v>3</v>
      </c>
      <c r="G704" t="s">
        <v>7</v>
      </c>
      <c r="H704">
        <v>5.2</v>
      </c>
      <c r="I704">
        <f t="shared" si="10"/>
        <v>5.2</v>
      </c>
    </row>
    <row r="705" spans="1:9" x14ac:dyDescent="0.3">
      <c r="A705">
        <v>1127</v>
      </c>
      <c r="B705">
        <v>7</v>
      </c>
      <c r="C705" t="s">
        <v>7</v>
      </c>
      <c r="D705">
        <v>1</v>
      </c>
      <c r="E705">
        <v>2024</v>
      </c>
      <c r="F705">
        <v>7</v>
      </c>
      <c r="G705" t="s">
        <v>7</v>
      </c>
      <c r="H705">
        <v>5.3</v>
      </c>
      <c r="I705">
        <f t="shared" si="10"/>
        <v>5.3</v>
      </c>
    </row>
    <row r="706" spans="1:9" x14ac:dyDescent="0.3">
      <c r="A706">
        <v>1128</v>
      </c>
      <c r="B706">
        <v>4</v>
      </c>
      <c r="C706" t="s">
        <v>8</v>
      </c>
      <c r="D706">
        <v>1</v>
      </c>
      <c r="E706">
        <v>2024</v>
      </c>
      <c r="F706">
        <v>4</v>
      </c>
      <c r="G706" t="s">
        <v>8</v>
      </c>
      <c r="H706">
        <v>3.7</v>
      </c>
      <c r="I706">
        <f t="shared" si="10"/>
        <v>3.7</v>
      </c>
    </row>
    <row r="707" spans="1:9" x14ac:dyDescent="0.3">
      <c r="A707">
        <v>1128</v>
      </c>
      <c r="B707">
        <v>6</v>
      </c>
      <c r="C707" t="s">
        <v>8</v>
      </c>
      <c r="D707">
        <v>1</v>
      </c>
      <c r="E707">
        <v>2024</v>
      </c>
      <c r="F707">
        <v>6</v>
      </c>
      <c r="G707" t="s">
        <v>8</v>
      </c>
      <c r="H707">
        <v>4.2</v>
      </c>
      <c r="I707">
        <f t="shared" ref="I707:I770" si="11">D707*H707</f>
        <v>4.2</v>
      </c>
    </row>
    <row r="708" spans="1:9" x14ac:dyDescent="0.3">
      <c r="A708">
        <v>1129</v>
      </c>
      <c r="B708">
        <v>14</v>
      </c>
      <c r="C708" t="s">
        <v>7</v>
      </c>
      <c r="D708">
        <v>2</v>
      </c>
      <c r="E708">
        <v>2024</v>
      </c>
      <c r="F708">
        <v>14</v>
      </c>
      <c r="G708" t="s">
        <v>7</v>
      </c>
      <c r="H708">
        <v>4.0999999999999996</v>
      </c>
      <c r="I708">
        <f t="shared" si="11"/>
        <v>8.1999999999999993</v>
      </c>
    </row>
    <row r="709" spans="1:9" x14ac:dyDescent="0.3">
      <c r="A709">
        <v>1130</v>
      </c>
      <c r="B709">
        <v>9</v>
      </c>
      <c r="C709" t="s">
        <v>6</v>
      </c>
      <c r="D709">
        <v>1</v>
      </c>
      <c r="E709">
        <v>2024</v>
      </c>
      <c r="F709">
        <v>9</v>
      </c>
      <c r="G709" t="s">
        <v>6</v>
      </c>
      <c r="H709">
        <v>7.7</v>
      </c>
      <c r="I709">
        <f t="shared" si="11"/>
        <v>7.7</v>
      </c>
    </row>
    <row r="710" spans="1:9" x14ac:dyDescent="0.3">
      <c r="A710">
        <v>1131</v>
      </c>
      <c r="B710">
        <v>5</v>
      </c>
      <c r="C710" t="s">
        <v>6</v>
      </c>
      <c r="D710">
        <v>1</v>
      </c>
      <c r="E710">
        <v>2024</v>
      </c>
      <c r="F710">
        <v>5</v>
      </c>
      <c r="G710" t="s">
        <v>6</v>
      </c>
      <c r="H710">
        <v>7.5</v>
      </c>
      <c r="I710">
        <f t="shared" si="11"/>
        <v>7.5</v>
      </c>
    </row>
    <row r="711" spans="1:9" x14ac:dyDescent="0.3">
      <c r="A711">
        <v>1132</v>
      </c>
      <c r="B711">
        <v>5</v>
      </c>
      <c r="C711" t="s">
        <v>9</v>
      </c>
      <c r="D711">
        <v>1</v>
      </c>
      <c r="E711">
        <v>2024</v>
      </c>
      <c r="F711">
        <v>5</v>
      </c>
      <c r="G711" t="s">
        <v>9</v>
      </c>
      <c r="H711">
        <v>8.9</v>
      </c>
      <c r="I711">
        <f t="shared" si="11"/>
        <v>8.9</v>
      </c>
    </row>
    <row r="712" spans="1:9" x14ac:dyDescent="0.3">
      <c r="A712">
        <v>1133</v>
      </c>
      <c r="B712">
        <v>10</v>
      </c>
      <c r="C712" t="s">
        <v>7</v>
      </c>
      <c r="D712">
        <v>2</v>
      </c>
      <c r="E712">
        <v>2024</v>
      </c>
      <c r="F712">
        <v>10</v>
      </c>
      <c r="G712" t="s">
        <v>7</v>
      </c>
      <c r="H712">
        <v>5.3</v>
      </c>
      <c r="I712">
        <f t="shared" si="11"/>
        <v>10.6</v>
      </c>
    </row>
    <row r="713" spans="1:9" x14ac:dyDescent="0.3">
      <c r="A713">
        <v>1134</v>
      </c>
      <c r="B713">
        <v>9</v>
      </c>
      <c r="C713" t="s">
        <v>6</v>
      </c>
      <c r="D713">
        <v>1</v>
      </c>
      <c r="E713">
        <v>2024</v>
      </c>
      <c r="F713">
        <v>9</v>
      </c>
      <c r="G713" t="s">
        <v>6</v>
      </c>
      <c r="H713">
        <v>7.7</v>
      </c>
      <c r="I713">
        <f t="shared" si="11"/>
        <v>7.7</v>
      </c>
    </row>
    <row r="714" spans="1:9" x14ac:dyDescent="0.3">
      <c r="A714">
        <v>1135</v>
      </c>
      <c r="B714">
        <v>8</v>
      </c>
      <c r="C714" t="s">
        <v>6</v>
      </c>
      <c r="D714">
        <v>1</v>
      </c>
      <c r="E714">
        <v>2024</v>
      </c>
      <c r="F714">
        <v>8</v>
      </c>
      <c r="G714" t="s">
        <v>6</v>
      </c>
      <c r="H714">
        <v>7.7</v>
      </c>
      <c r="I714">
        <f t="shared" si="11"/>
        <v>7.7</v>
      </c>
    </row>
    <row r="715" spans="1:9" x14ac:dyDescent="0.3">
      <c r="A715">
        <v>1136</v>
      </c>
      <c r="B715">
        <v>1</v>
      </c>
      <c r="C715" t="s">
        <v>7</v>
      </c>
      <c r="D715">
        <v>2</v>
      </c>
      <c r="E715">
        <v>2024</v>
      </c>
      <c r="F715">
        <v>1</v>
      </c>
      <c r="G715" t="s">
        <v>7</v>
      </c>
      <c r="H715">
        <v>5.2</v>
      </c>
      <c r="I715">
        <f t="shared" si="11"/>
        <v>10.4</v>
      </c>
    </row>
    <row r="716" spans="1:9" x14ac:dyDescent="0.3">
      <c r="A716">
        <v>1137</v>
      </c>
      <c r="B716">
        <v>9</v>
      </c>
      <c r="C716" t="s">
        <v>6</v>
      </c>
      <c r="D716">
        <v>1</v>
      </c>
      <c r="E716">
        <v>2024</v>
      </c>
      <c r="F716">
        <v>9</v>
      </c>
      <c r="G716" t="s">
        <v>6</v>
      </c>
      <c r="H716">
        <v>7.7</v>
      </c>
      <c r="I716">
        <f t="shared" si="11"/>
        <v>7.7</v>
      </c>
    </row>
    <row r="717" spans="1:9" x14ac:dyDescent="0.3">
      <c r="A717">
        <v>1138</v>
      </c>
      <c r="B717">
        <v>4</v>
      </c>
      <c r="C717" t="s">
        <v>6</v>
      </c>
      <c r="D717">
        <v>1</v>
      </c>
      <c r="E717">
        <v>2024</v>
      </c>
      <c r="F717">
        <v>4</v>
      </c>
      <c r="G717" t="s">
        <v>6</v>
      </c>
      <c r="H717">
        <v>6.8</v>
      </c>
      <c r="I717">
        <f t="shared" si="11"/>
        <v>6.8</v>
      </c>
    </row>
    <row r="718" spans="1:9" x14ac:dyDescent="0.3">
      <c r="A718">
        <v>1139</v>
      </c>
      <c r="B718">
        <v>1</v>
      </c>
      <c r="C718" t="s">
        <v>9</v>
      </c>
      <c r="D718">
        <v>1</v>
      </c>
      <c r="E718">
        <v>2024</v>
      </c>
      <c r="F718">
        <v>1</v>
      </c>
      <c r="G718" t="s">
        <v>9</v>
      </c>
      <c r="H718">
        <v>9.9</v>
      </c>
      <c r="I718">
        <f t="shared" si="11"/>
        <v>9.9</v>
      </c>
    </row>
    <row r="719" spans="1:9" x14ac:dyDescent="0.3">
      <c r="A719">
        <v>1140</v>
      </c>
      <c r="B719">
        <v>12</v>
      </c>
      <c r="C719" t="s">
        <v>8</v>
      </c>
      <c r="D719">
        <v>1</v>
      </c>
      <c r="E719">
        <v>2024</v>
      </c>
      <c r="F719">
        <v>12</v>
      </c>
      <c r="G719" t="s">
        <v>8</v>
      </c>
      <c r="H719">
        <v>4.0999999999999996</v>
      </c>
      <c r="I719">
        <f t="shared" si="11"/>
        <v>4.0999999999999996</v>
      </c>
    </row>
    <row r="720" spans="1:9" x14ac:dyDescent="0.3">
      <c r="A720">
        <v>1141</v>
      </c>
      <c r="B720">
        <v>6</v>
      </c>
      <c r="C720" t="s">
        <v>7</v>
      </c>
      <c r="D720">
        <v>1</v>
      </c>
      <c r="E720">
        <v>2024</v>
      </c>
      <c r="F720">
        <v>6</v>
      </c>
      <c r="G720" t="s">
        <v>7</v>
      </c>
      <c r="H720">
        <v>5.3</v>
      </c>
      <c r="I720">
        <f t="shared" si="11"/>
        <v>5.3</v>
      </c>
    </row>
    <row r="721" spans="1:9" x14ac:dyDescent="0.3">
      <c r="A721">
        <v>1142</v>
      </c>
      <c r="B721">
        <v>2</v>
      </c>
      <c r="C721" t="s">
        <v>7</v>
      </c>
      <c r="D721">
        <v>1</v>
      </c>
      <c r="E721">
        <v>2024</v>
      </c>
      <c r="F721">
        <v>2</v>
      </c>
      <c r="G721" t="s">
        <v>7</v>
      </c>
      <c r="H721">
        <v>5.2</v>
      </c>
      <c r="I721">
        <f t="shared" si="11"/>
        <v>5.2</v>
      </c>
    </row>
    <row r="722" spans="1:9" x14ac:dyDescent="0.3">
      <c r="A722">
        <v>1142</v>
      </c>
      <c r="B722">
        <v>4</v>
      </c>
      <c r="C722" t="s">
        <v>6</v>
      </c>
      <c r="D722">
        <v>1</v>
      </c>
      <c r="E722">
        <v>2024</v>
      </c>
      <c r="F722">
        <v>4</v>
      </c>
      <c r="G722" t="s">
        <v>6</v>
      </c>
      <c r="H722">
        <v>6.8</v>
      </c>
      <c r="I722">
        <f t="shared" si="11"/>
        <v>6.8</v>
      </c>
    </row>
    <row r="723" spans="1:9" x14ac:dyDescent="0.3">
      <c r="A723">
        <v>1143</v>
      </c>
      <c r="B723">
        <v>4</v>
      </c>
      <c r="C723" t="s">
        <v>6</v>
      </c>
      <c r="D723">
        <v>3</v>
      </c>
      <c r="E723">
        <v>2024</v>
      </c>
      <c r="F723">
        <v>4</v>
      </c>
      <c r="G723" t="s">
        <v>6</v>
      </c>
      <c r="H723">
        <v>6.8</v>
      </c>
      <c r="I723">
        <f t="shared" si="11"/>
        <v>20.399999999999999</v>
      </c>
    </row>
    <row r="724" spans="1:9" x14ac:dyDescent="0.3">
      <c r="A724">
        <v>1144</v>
      </c>
      <c r="B724">
        <v>5</v>
      </c>
      <c r="C724" t="s">
        <v>7</v>
      </c>
      <c r="D724">
        <v>2</v>
      </c>
      <c r="E724">
        <v>2024</v>
      </c>
      <c r="F724">
        <v>5</v>
      </c>
      <c r="G724" t="s">
        <v>7</v>
      </c>
      <c r="H724">
        <v>5.3</v>
      </c>
      <c r="I724">
        <f t="shared" si="11"/>
        <v>10.6</v>
      </c>
    </row>
    <row r="725" spans="1:9" x14ac:dyDescent="0.3">
      <c r="A725">
        <v>1145</v>
      </c>
      <c r="B725">
        <v>14</v>
      </c>
      <c r="C725" t="s">
        <v>7</v>
      </c>
      <c r="D725">
        <v>5</v>
      </c>
      <c r="E725">
        <v>2024</v>
      </c>
      <c r="F725">
        <v>14</v>
      </c>
      <c r="G725" t="s">
        <v>7</v>
      </c>
      <c r="H725">
        <v>4.0999999999999996</v>
      </c>
      <c r="I725">
        <f t="shared" si="11"/>
        <v>20.5</v>
      </c>
    </row>
    <row r="726" spans="1:9" x14ac:dyDescent="0.3">
      <c r="A726">
        <v>1146</v>
      </c>
      <c r="B726">
        <v>6</v>
      </c>
      <c r="C726" t="s">
        <v>6</v>
      </c>
      <c r="D726">
        <v>1</v>
      </c>
      <c r="E726">
        <v>2024</v>
      </c>
      <c r="F726">
        <v>6</v>
      </c>
      <c r="G726" t="s">
        <v>6</v>
      </c>
      <c r="H726">
        <v>7.5</v>
      </c>
      <c r="I726">
        <f t="shared" si="11"/>
        <v>7.5</v>
      </c>
    </row>
    <row r="727" spans="1:9" x14ac:dyDescent="0.3">
      <c r="A727">
        <v>1147</v>
      </c>
      <c r="B727">
        <v>2</v>
      </c>
      <c r="C727" t="s">
        <v>6</v>
      </c>
      <c r="D727">
        <v>2</v>
      </c>
      <c r="E727">
        <v>2024</v>
      </c>
      <c r="F727">
        <v>2</v>
      </c>
      <c r="G727" t="s">
        <v>6</v>
      </c>
      <c r="H727">
        <v>6.8</v>
      </c>
      <c r="I727">
        <f t="shared" si="11"/>
        <v>13.6</v>
      </c>
    </row>
    <row r="728" spans="1:9" x14ac:dyDescent="0.3">
      <c r="A728">
        <v>1148</v>
      </c>
      <c r="B728">
        <v>13</v>
      </c>
      <c r="C728" t="s">
        <v>6</v>
      </c>
      <c r="D728">
        <v>1</v>
      </c>
      <c r="E728">
        <v>2024</v>
      </c>
      <c r="F728">
        <v>13</v>
      </c>
      <c r="G728" t="s">
        <v>6</v>
      </c>
      <c r="H728">
        <v>7.5</v>
      </c>
      <c r="I728">
        <f t="shared" si="11"/>
        <v>7.5</v>
      </c>
    </row>
    <row r="729" spans="1:9" x14ac:dyDescent="0.3">
      <c r="A729">
        <v>1149</v>
      </c>
      <c r="B729">
        <v>7</v>
      </c>
      <c r="C729" t="s">
        <v>6</v>
      </c>
      <c r="D729">
        <v>1</v>
      </c>
      <c r="E729">
        <v>2024</v>
      </c>
      <c r="F729">
        <v>7</v>
      </c>
      <c r="G729" t="s">
        <v>6</v>
      </c>
      <c r="H729">
        <v>7.5</v>
      </c>
      <c r="I729">
        <f t="shared" si="11"/>
        <v>7.5</v>
      </c>
    </row>
    <row r="730" spans="1:9" x14ac:dyDescent="0.3">
      <c r="A730">
        <v>1149</v>
      </c>
      <c r="B730">
        <v>12</v>
      </c>
      <c r="C730" t="s">
        <v>8</v>
      </c>
      <c r="D730">
        <v>2</v>
      </c>
      <c r="E730">
        <v>2024</v>
      </c>
      <c r="F730">
        <v>12</v>
      </c>
      <c r="G730" t="s">
        <v>8</v>
      </c>
      <c r="H730">
        <v>4.0999999999999996</v>
      </c>
      <c r="I730">
        <f t="shared" si="11"/>
        <v>8.1999999999999993</v>
      </c>
    </row>
    <row r="731" spans="1:9" x14ac:dyDescent="0.3">
      <c r="A731">
        <v>1150</v>
      </c>
      <c r="B731">
        <v>2</v>
      </c>
      <c r="C731" t="s">
        <v>7</v>
      </c>
      <c r="D731">
        <v>1</v>
      </c>
      <c r="E731">
        <v>2024</v>
      </c>
      <c r="F731">
        <v>2</v>
      </c>
      <c r="G731" t="s">
        <v>7</v>
      </c>
      <c r="H731">
        <v>5.2</v>
      </c>
      <c r="I731">
        <f t="shared" si="11"/>
        <v>5.2</v>
      </c>
    </row>
    <row r="732" spans="1:9" x14ac:dyDescent="0.3">
      <c r="A732">
        <v>1151</v>
      </c>
      <c r="B732">
        <v>10</v>
      </c>
      <c r="C732" t="s">
        <v>7</v>
      </c>
      <c r="D732">
        <v>1</v>
      </c>
      <c r="E732">
        <v>2024</v>
      </c>
      <c r="F732">
        <v>10</v>
      </c>
      <c r="G732" t="s">
        <v>7</v>
      </c>
      <c r="H732">
        <v>5.3</v>
      </c>
      <c r="I732">
        <f t="shared" si="11"/>
        <v>5.3</v>
      </c>
    </row>
    <row r="733" spans="1:9" x14ac:dyDescent="0.3">
      <c r="A733">
        <v>1152</v>
      </c>
      <c r="B733">
        <v>6</v>
      </c>
      <c r="C733" t="s">
        <v>7</v>
      </c>
      <c r="D733">
        <v>1</v>
      </c>
      <c r="E733">
        <v>2024</v>
      </c>
      <c r="F733">
        <v>6</v>
      </c>
      <c r="G733" t="s">
        <v>7</v>
      </c>
      <c r="H733">
        <v>5.3</v>
      </c>
      <c r="I733">
        <f t="shared" si="11"/>
        <v>5.3</v>
      </c>
    </row>
    <row r="734" spans="1:9" x14ac:dyDescent="0.3">
      <c r="A734">
        <v>1153</v>
      </c>
      <c r="B734">
        <v>5</v>
      </c>
      <c r="C734" t="s">
        <v>8</v>
      </c>
      <c r="D734">
        <v>1</v>
      </c>
      <c r="E734">
        <v>2024</v>
      </c>
      <c r="F734">
        <v>5</v>
      </c>
      <c r="G734" t="s">
        <v>8</v>
      </c>
      <c r="H734">
        <v>4.2</v>
      </c>
      <c r="I734">
        <f t="shared" si="11"/>
        <v>4.2</v>
      </c>
    </row>
    <row r="735" spans="1:9" x14ac:dyDescent="0.3">
      <c r="A735">
        <v>1154</v>
      </c>
      <c r="B735">
        <v>10</v>
      </c>
      <c r="C735" t="s">
        <v>6</v>
      </c>
      <c r="D735">
        <v>1</v>
      </c>
      <c r="E735">
        <v>2024</v>
      </c>
      <c r="F735">
        <v>10</v>
      </c>
      <c r="G735" t="s">
        <v>6</v>
      </c>
      <c r="H735">
        <v>7.5</v>
      </c>
      <c r="I735">
        <f t="shared" si="11"/>
        <v>7.5</v>
      </c>
    </row>
    <row r="736" spans="1:9" x14ac:dyDescent="0.3">
      <c r="A736">
        <v>1155</v>
      </c>
      <c r="B736">
        <v>9</v>
      </c>
      <c r="C736" t="s">
        <v>6</v>
      </c>
      <c r="D736">
        <v>1</v>
      </c>
      <c r="E736">
        <v>2024</v>
      </c>
      <c r="F736">
        <v>9</v>
      </c>
      <c r="G736" t="s">
        <v>6</v>
      </c>
      <c r="H736">
        <v>7.7</v>
      </c>
      <c r="I736">
        <f t="shared" si="11"/>
        <v>7.7</v>
      </c>
    </row>
    <row r="737" spans="1:9" x14ac:dyDescent="0.3">
      <c r="A737">
        <v>1156</v>
      </c>
      <c r="B737">
        <v>5</v>
      </c>
      <c r="C737" t="s">
        <v>8</v>
      </c>
      <c r="D737">
        <v>1</v>
      </c>
      <c r="E737">
        <v>2024</v>
      </c>
      <c r="F737">
        <v>5</v>
      </c>
      <c r="G737" t="s">
        <v>8</v>
      </c>
      <c r="H737">
        <v>4.2</v>
      </c>
      <c r="I737">
        <f t="shared" si="11"/>
        <v>4.2</v>
      </c>
    </row>
    <row r="738" spans="1:9" x14ac:dyDescent="0.3">
      <c r="A738">
        <v>1157</v>
      </c>
      <c r="B738">
        <v>11</v>
      </c>
      <c r="C738" t="s">
        <v>6</v>
      </c>
      <c r="D738">
        <v>1</v>
      </c>
      <c r="E738">
        <v>2024</v>
      </c>
      <c r="F738">
        <v>11</v>
      </c>
      <c r="G738" t="s">
        <v>6</v>
      </c>
      <c r="H738">
        <v>7.5</v>
      </c>
      <c r="I738">
        <f t="shared" si="11"/>
        <v>7.5</v>
      </c>
    </row>
    <row r="739" spans="1:9" x14ac:dyDescent="0.3">
      <c r="A739">
        <v>1158</v>
      </c>
      <c r="B739">
        <v>9</v>
      </c>
      <c r="C739" t="s">
        <v>7</v>
      </c>
      <c r="D739">
        <v>2</v>
      </c>
      <c r="E739">
        <v>2024</v>
      </c>
      <c r="F739">
        <v>9</v>
      </c>
      <c r="G739" t="s">
        <v>7</v>
      </c>
      <c r="H739">
        <v>5.2</v>
      </c>
      <c r="I739">
        <f t="shared" si="11"/>
        <v>10.4</v>
      </c>
    </row>
    <row r="740" spans="1:9" x14ac:dyDescent="0.3">
      <c r="A740">
        <v>1159</v>
      </c>
      <c r="B740">
        <v>4</v>
      </c>
      <c r="C740" t="s">
        <v>7</v>
      </c>
      <c r="D740">
        <v>1</v>
      </c>
      <c r="E740">
        <v>2024</v>
      </c>
      <c r="F740">
        <v>4</v>
      </c>
      <c r="G740" t="s">
        <v>7</v>
      </c>
      <c r="H740">
        <v>4.8</v>
      </c>
      <c r="I740">
        <f t="shared" si="11"/>
        <v>4.8</v>
      </c>
    </row>
    <row r="741" spans="1:9" x14ac:dyDescent="0.3">
      <c r="A741">
        <v>1159</v>
      </c>
      <c r="B741">
        <v>8</v>
      </c>
      <c r="C741" t="s">
        <v>7</v>
      </c>
      <c r="D741">
        <v>1</v>
      </c>
      <c r="E741">
        <v>2024</v>
      </c>
      <c r="F741">
        <v>8</v>
      </c>
      <c r="G741" t="s">
        <v>7</v>
      </c>
      <c r="H741">
        <v>5.2</v>
      </c>
      <c r="I741">
        <f t="shared" si="11"/>
        <v>5.2</v>
      </c>
    </row>
    <row r="742" spans="1:9" x14ac:dyDescent="0.3">
      <c r="A742">
        <v>1160</v>
      </c>
      <c r="B742">
        <v>3</v>
      </c>
      <c r="C742" t="s">
        <v>7</v>
      </c>
      <c r="D742">
        <v>2</v>
      </c>
      <c r="E742">
        <v>2024</v>
      </c>
      <c r="F742">
        <v>3</v>
      </c>
      <c r="G742" t="s">
        <v>7</v>
      </c>
      <c r="H742">
        <v>5.2</v>
      </c>
      <c r="I742">
        <f t="shared" si="11"/>
        <v>10.4</v>
      </c>
    </row>
    <row r="743" spans="1:9" x14ac:dyDescent="0.3">
      <c r="A743">
        <v>1160</v>
      </c>
      <c r="B743">
        <v>14</v>
      </c>
      <c r="C743" t="s">
        <v>6</v>
      </c>
      <c r="D743">
        <v>1</v>
      </c>
      <c r="E743">
        <v>2024</v>
      </c>
      <c r="F743">
        <v>14</v>
      </c>
      <c r="G743" t="s">
        <v>6</v>
      </c>
      <c r="H743">
        <v>7.6</v>
      </c>
      <c r="I743">
        <f t="shared" si="11"/>
        <v>7.6</v>
      </c>
    </row>
    <row r="744" spans="1:9" x14ac:dyDescent="0.3">
      <c r="A744">
        <v>1161</v>
      </c>
      <c r="B744">
        <v>5</v>
      </c>
      <c r="C744" t="s">
        <v>7</v>
      </c>
      <c r="D744">
        <v>1</v>
      </c>
      <c r="E744">
        <v>2024</v>
      </c>
      <c r="F744">
        <v>5</v>
      </c>
      <c r="G744" t="s">
        <v>7</v>
      </c>
      <c r="H744">
        <v>5.3</v>
      </c>
      <c r="I744">
        <f t="shared" si="11"/>
        <v>5.3</v>
      </c>
    </row>
    <row r="745" spans="1:9" x14ac:dyDescent="0.3">
      <c r="A745">
        <v>1162</v>
      </c>
      <c r="B745">
        <v>6</v>
      </c>
      <c r="C745" t="s">
        <v>6</v>
      </c>
      <c r="D745">
        <v>1</v>
      </c>
      <c r="E745">
        <v>2024</v>
      </c>
      <c r="F745">
        <v>6</v>
      </c>
      <c r="G745" t="s">
        <v>6</v>
      </c>
      <c r="H745">
        <v>7.5</v>
      </c>
      <c r="I745">
        <f t="shared" si="11"/>
        <v>7.5</v>
      </c>
    </row>
    <row r="746" spans="1:9" x14ac:dyDescent="0.3">
      <c r="A746">
        <v>1163</v>
      </c>
      <c r="B746">
        <v>11</v>
      </c>
      <c r="C746" t="s">
        <v>7</v>
      </c>
      <c r="D746">
        <v>2</v>
      </c>
      <c r="E746">
        <v>2024</v>
      </c>
      <c r="F746">
        <v>11</v>
      </c>
      <c r="G746" t="s">
        <v>7</v>
      </c>
      <c r="H746">
        <v>5.3</v>
      </c>
      <c r="I746">
        <f t="shared" si="11"/>
        <v>10.6</v>
      </c>
    </row>
    <row r="747" spans="1:9" x14ac:dyDescent="0.3">
      <c r="A747">
        <v>1164</v>
      </c>
      <c r="B747">
        <v>2</v>
      </c>
      <c r="C747" t="s">
        <v>7</v>
      </c>
      <c r="D747">
        <v>2</v>
      </c>
      <c r="E747">
        <v>2024</v>
      </c>
      <c r="F747">
        <v>2</v>
      </c>
      <c r="G747" t="s">
        <v>7</v>
      </c>
      <c r="H747">
        <v>5.2</v>
      </c>
      <c r="I747">
        <f t="shared" si="11"/>
        <v>10.4</v>
      </c>
    </row>
    <row r="748" spans="1:9" x14ac:dyDescent="0.3">
      <c r="A748">
        <v>1165</v>
      </c>
      <c r="B748">
        <v>3</v>
      </c>
      <c r="C748" t="s">
        <v>6</v>
      </c>
      <c r="D748">
        <v>1</v>
      </c>
      <c r="E748">
        <v>2024</v>
      </c>
      <c r="F748">
        <v>3</v>
      </c>
      <c r="G748" t="s">
        <v>6</v>
      </c>
      <c r="H748">
        <v>6.8</v>
      </c>
      <c r="I748">
        <f t="shared" si="11"/>
        <v>6.8</v>
      </c>
    </row>
    <row r="749" spans="1:9" x14ac:dyDescent="0.3">
      <c r="A749">
        <v>1166</v>
      </c>
      <c r="B749">
        <v>4</v>
      </c>
      <c r="C749" t="s">
        <v>6</v>
      </c>
      <c r="D749">
        <v>2</v>
      </c>
      <c r="E749">
        <v>2024</v>
      </c>
      <c r="F749">
        <v>4</v>
      </c>
      <c r="G749" t="s">
        <v>6</v>
      </c>
      <c r="H749">
        <v>6.8</v>
      </c>
      <c r="I749">
        <f t="shared" si="11"/>
        <v>13.6</v>
      </c>
    </row>
    <row r="750" spans="1:9" x14ac:dyDescent="0.3">
      <c r="A750">
        <v>1166</v>
      </c>
      <c r="B750">
        <v>10</v>
      </c>
      <c r="C750" t="s">
        <v>7</v>
      </c>
      <c r="D750">
        <v>1</v>
      </c>
      <c r="E750">
        <v>2024</v>
      </c>
      <c r="F750">
        <v>10</v>
      </c>
      <c r="G750" t="s">
        <v>7</v>
      </c>
      <c r="H750">
        <v>5.3</v>
      </c>
      <c r="I750">
        <f t="shared" si="11"/>
        <v>5.3</v>
      </c>
    </row>
    <row r="751" spans="1:9" x14ac:dyDescent="0.3">
      <c r="A751">
        <v>1167</v>
      </c>
      <c r="B751">
        <v>5</v>
      </c>
      <c r="C751" t="s">
        <v>7</v>
      </c>
      <c r="D751">
        <v>2</v>
      </c>
      <c r="E751">
        <v>2024</v>
      </c>
      <c r="F751">
        <v>5</v>
      </c>
      <c r="G751" t="s">
        <v>7</v>
      </c>
      <c r="H751">
        <v>5.3</v>
      </c>
      <c r="I751">
        <f t="shared" si="11"/>
        <v>10.6</v>
      </c>
    </row>
    <row r="752" spans="1:9" x14ac:dyDescent="0.3">
      <c r="A752">
        <v>1168</v>
      </c>
      <c r="B752">
        <v>4</v>
      </c>
      <c r="C752" t="s">
        <v>6</v>
      </c>
      <c r="D752">
        <v>1</v>
      </c>
      <c r="E752">
        <v>2024</v>
      </c>
      <c r="F752">
        <v>4</v>
      </c>
      <c r="G752" t="s">
        <v>6</v>
      </c>
      <c r="H752">
        <v>6.8</v>
      </c>
      <c r="I752">
        <f t="shared" si="11"/>
        <v>6.8</v>
      </c>
    </row>
    <row r="753" spans="1:9" x14ac:dyDescent="0.3">
      <c r="A753">
        <v>1168</v>
      </c>
      <c r="B753">
        <v>4</v>
      </c>
      <c r="C753" t="s">
        <v>7</v>
      </c>
      <c r="D753">
        <v>1</v>
      </c>
      <c r="E753">
        <v>2024</v>
      </c>
      <c r="F753">
        <v>4</v>
      </c>
      <c r="G753" t="s">
        <v>7</v>
      </c>
      <c r="H753">
        <v>4.8</v>
      </c>
      <c r="I753">
        <f t="shared" si="11"/>
        <v>4.8</v>
      </c>
    </row>
    <row r="754" spans="1:9" x14ac:dyDescent="0.3">
      <c r="A754">
        <v>1169</v>
      </c>
      <c r="B754">
        <v>7</v>
      </c>
      <c r="C754" t="s">
        <v>7</v>
      </c>
      <c r="D754">
        <v>1</v>
      </c>
      <c r="E754">
        <v>2024</v>
      </c>
      <c r="F754">
        <v>7</v>
      </c>
      <c r="G754" t="s">
        <v>7</v>
      </c>
      <c r="H754">
        <v>5.3</v>
      </c>
      <c r="I754">
        <f t="shared" si="11"/>
        <v>5.3</v>
      </c>
    </row>
    <row r="755" spans="1:9" x14ac:dyDescent="0.3">
      <c r="A755">
        <v>1170</v>
      </c>
      <c r="B755">
        <v>3</v>
      </c>
      <c r="C755" t="s">
        <v>6</v>
      </c>
      <c r="D755">
        <v>1</v>
      </c>
      <c r="E755">
        <v>2024</v>
      </c>
      <c r="F755">
        <v>3</v>
      </c>
      <c r="G755" t="s">
        <v>6</v>
      </c>
      <c r="H755">
        <v>6.8</v>
      </c>
      <c r="I755">
        <f t="shared" si="11"/>
        <v>6.8</v>
      </c>
    </row>
    <row r="756" spans="1:9" x14ac:dyDescent="0.3">
      <c r="A756">
        <v>1170</v>
      </c>
      <c r="B756">
        <v>9</v>
      </c>
      <c r="C756" t="s">
        <v>7</v>
      </c>
      <c r="D756">
        <v>1</v>
      </c>
      <c r="E756">
        <v>2024</v>
      </c>
      <c r="F756">
        <v>9</v>
      </c>
      <c r="G756" t="s">
        <v>7</v>
      </c>
      <c r="H756">
        <v>5.2</v>
      </c>
      <c r="I756">
        <f t="shared" si="11"/>
        <v>5.2</v>
      </c>
    </row>
    <row r="757" spans="1:9" x14ac:dyDescent="0.3">
      <c r="A757">
        <v>1171</v>
      </c>
      <c r="B757">
        <v>6</v>
      </c>
      <c r="C757" t="s">
        <v>6</v>
      </c>
      <c r="D757">
        <v>1</v>
      </c>
      <c r="E757">
        <v>2024</v>
      </c>
      <c r="F757">
        <v>6</v>
      </c>
      <c r="G757" t="s">
        <v>6</v>
      </c>
      <c r="H757">
        <v>7.5</v>
      </c>
      <c r="I757">
        <f t="shared" si="11"/>
        <v>7.5</v>
      </c>
    </row>
    <row r="758" spans="1:9" x14ac:dyDescent="0.3">
      <c r="A758">
        <v>1172</v>
      </c>
      <c r="B758">
        <v>6</v>
      </c>
      <c r="C758" t="s">
        <v>6</v>
      </c>
      <c r="D758">
        <v>3</v>
      </c>
      <c r="E758">
        <v>2024</v>
      </c>
      <c r="F758">
        <v>6</v>
      </c>
      <c r="G758" t="s">
        <v>6</v>
      </c>
      <c r="H758">
        <v>7.5</v>
      </c>
      <c r="I758">
        <f t="shared" si="11"/>
        <v>22.5</v>
      </c>
    </row>
    <row r="759" spans="1:9" x14ac:dyDescent="0.3">
      <c r="A759">
        <v>1173</v>
      </c>
      <c r="B759">
        <v>7</v>
      </c>
      <c r="C759" t="s">
        <v>7</v>
      </c>
      <c r="D759">
        <v>1</v>
      </c>
      <c r="E759">
        <v>2024</v>
      </c>
      <c r="F759">
        <v>7</v>
      </c>
      <c r="G759" t="s">
        <v>7</v>
      </c>
      <c r="H759">
        <v>5.3</v>
      </c>
      <c r="I759">
        <f t="shared" si="11"/>
        <v>5.3</v>
      </c>
    </row>
    <row r="760" spans="1:9" x14ac:dyDescent="0.3">
      <c r="A760">
        <v>1174</v>
      </c>
      <c r="B760">
        <v>7</v>
      </c>
      <c r="C760" t="s">
        <v>6</v>
      </c>
      <c r="D760">
        <v>1</v>
      </c>
      <c r="E760">
        <v>2024</v>
      </c>
      <c r="F760">
        <v>7</v>
      </c>
      <c r="G760" t="s">
        <v>6</v>
      </c>
      <c r="H760">
        <v>7.5</v>
      </c>
      <c r="I760">
        <f t="shared" si="11"/>
        <v>7.5</v>
      </c>
    </row>
    <row r="761" spans="1:9" x14ac:dyDescent="0.3">
      <c r="A761">
        <v>1175</v>
      </c>
      <c r="B761">
        <v>11</v>
      </c>
      <c r="C761" t="s">
        <v>7</v>
      </c>
      <c r="D761">
        <v>1</v>
      </c>
      <c r="E761">
        <v>2024</v>
      </c>
      <c r="F761">
        <v>11</v>
      </c>
      <c r="G761" t="s">
        <v>7</v>
      </c>
      <c r="H761">
        <v>5.3</v>
      </c>
      <c r="I761">
        <f t="shared" si="11"/>
        <v>5.3</v>
      </c>
    </row>
    <row r="762" spans="1:9" x14ac:dyDescent="0.3">
      <c r="A762">
        <v>1176</v>
      </c>
      <c r="B762">
        <v>7</v>
      </c>
      <c r="C762" t="s">
        <v>7</v>
      </c>
      <c r="D762">
        <v>1</v>
      </c>
      <c r="E762">
        <v>2024</v>
      </c>
      <c r="F762">
        <v>7</v>
      </c>
      <c r="G762" t="s">
        <v>7</v>
      </c>
      <c r="H762">
        <v>5.3</v>
      </c>
      <c r="I762">
        <f t="shared" si="11"/>
        <v>5.3</v>
      </c>
    </row>
    <row r="763" spans="1:9" x14ac:dyDescent="0.3">
      <c r="A763">
        <v>1177</v>
      </c>
      <c r="B763">
        <v>14</v>
      </c>
      <c r="C763" t="s">
        <v>6</v>
      </c>
      <c r="D763">
        <v>1</v>
      </c>
      <c r="E763">
        <v>2024</v>
      </c>
      <c r="F763">
        <v>14</v>
      </c>
      <c r="G763" t="s">
        <v>6</v>
      </c>
      <c r="H763">
        <v>7.6</v>
      </c>
      <c r="I763">
        <f t="shared" si="11"/>
        <v>7.6</v>
      </c>
    </row>
    <row r="764" spans="1:9" x14ac:dyDescent="0.3">
      <c r="A764">
        <v>1178</v>
      </c>
      <c r="B764">
        <v>12</v>
      </c>
      <c r="C764" t="s">
        <v>7</v>
      </c>
      <c r="D764">
        <v>2</v>
      </c>
      <c r="E764">
        <v>2024</v>
      </c>
      <c r="F764">
        <v>12</v>
      </c>
      <c r="G764" t="s">
        <v>7</v>
      </c>
      <c r="H764">
        <v>5.3</v>
      </c>
      <c r="I764">
        <f t="shared" si="11"/>
        <v>10.6</v>
      </c>
    </row>
    <row r="765" spans="1:9" x14ac:dyDescent="0.3">
      <c r="A765">
        <v>1179</v>
      </c>
      <c r="B765">
        <v>1</v>
      </c>
      <c r="C765" t="s">
        <v>7</v>
      </c>
      <c r="D765">
        <v>1</v>
      </c>
      <c r="E765">
        <v>2024</v>
      </c>
      <c r="F765">
        <v>1</v>
      </c>
      <c r="G765" t="s">
        <v>7</v>
      </c>
      <c r="H765">
        <v>5.2</v>
      </c>
      <c r="I765">
        <f t="shared" si="11"/>
        <v>5.2</v>
      </c>
    </row>
    <row r="766" spans="1:9" x14ac:dyDescent="0.3">
      <c r="A766">
        <v>1181</v>
      </c>
      <c r="B766">
        <v>2</v>
      </c>
      <c r="C766" t="s">
        <v>7</v>
      </c>
      <c r="D766">
        <v>1</v>
      </c>
      <c r="E766">
        <v>2024</v>
      </c>
      <c r="F766">
        <v>2</v>
      </c>
      <c r="G766" t="s">
        <v>7</v>
      </c>
      <c r="H766">
        <v>5.2</v>
      </c>
      <c r="I766">
        <f t="shared" si="11"/>
        <v>5.2</v>
      </c>
    </row>
    <row r="767" spans="1:9" x14ac:dyDescent="0.3">
      <c r="A767">
        <v>1181</v>
      </c>
      <c r="B767">
        <v>6</v>
      </c>
      <c r="C767" t="s">
        <v>6</v>
      </c>
      <c r="D767">
        <v>1</v>
      </c>
      <c r="E767">
        <v>2024</v>
      </c>
      <c r="F767">
        <v>6</v>
      </c>
      <c r="G767" t="s">
        <v>6</v>
      </c>
      <c r="H767">
        <v>7.5</v>
      </c>
      <c r="I767">
        <f t="shared" si="11"/>
        <v>7.5</v>
      </c>
    </row>
    <row r="768" spans="1:9" x14ac:dyDescent="0.3">
      <c r="A768">
        <v>1182</v>
      </c>
      <c r="B768">
        <v>9</v>
      </c>
      <c r="C768" t="s">
        <v>7</v>
      </c>
      <c r="D768">
        <v>1</v>
      </c>
      <c r="E768">
        <v>2024</v>
      </c>
      <c r="F768">
        <v>9</v>
      </c>
      <c r="G768" t="s">
        <v>7</v>
      </c>
      <c r="H768">
        <v>5.2</v>
      </c>
      <c r="I768">
        <f t="shared" si="11"/>
        <v>5.2</v>
      </c>
    </row>
    <row r="769" spans="1:9" x14ac:dyDescent="0.3">
      <c r="A769">
        <v>1183</v>
      </c>
      <c r="B769">
        <v>4</v>
      </c>
      <c r="C769" t="s">
        <v>7</v>
      </c>
      <c r="D769">
        <v>1</v>
      </c>
      <c r="E769">
        <v>2024</v>
      </c>
      <c r="F769">
        <v>4</v>
      </c>
      <c r="G769" t="s">
        <v>7</v>
      </c>
      <c r="H769">
        <v>4.8</v>
      </c>
      <c r="I769">
        <f t="shared" si="11"/>
        <v>4.8</v>
      </c>
    </row>
    <row r="770" spans="1:9" x14ac:dyDescent="0.3">
      <c r="A770">
        <v>1184</v>
      </c>
      <c r="B770">
        <v>12</v>
      </c>
      <c r="C770" t="s">
        <v>7</v>
      </c>
      <c r="D770">
        <v>2</v>
      </c>
      <c r="E770">
        <v>2024</v>
      </c>
      <c r="F770">
        <v>12</v>
      </c>
      <c r="G770" t="s">
        <v>7</v>
      </c>
      <c r="H770">
        <v>5.3</v>
      </c>
      <c r="I770">
        <f t="shared" si="11"/>
        <v>10.6</v>
      </c>
    </row>
    <row r="771" spans="1:9" x14ac:dyDescent="0.3">
      <c r="A771">
        <v>1185</v>
      </c>
      <c r="B771">
        <v>6</v>
      </c>
      <c r="C771" t="s">
        <v>7</v>
      </c>
      <c r="D771">
        <v>2</v>
      </c>
      <c r="E771">
        <v>2024</v>
      </c>
      <c r="F771">
        <v>6</v>
      </c>
      <c r="G771" t="s">
        <v>7</v>
      </c>
      <c r="H771">
        <v>5.3</v>
      </c>
      <c r="I771">
        <f t="shared" ref="I771:I834" si="12">D771*H771</f>
        <v>10.6</v>
      </c>
    </row>
    <row r="772" spans="1:9" x14ac:dyDescent="0.3">
      <c r="A772">
        <v>1186</v>
      </c>
      <c r="B772">
        <v>12</v>
      </c>
      <c r="C772" t="s">
        <v>6</v>
      </c>
      <c r="D772">
        <v>1</v>
      </c>
      <c r="E772">
        <v>2024</v>
      </c>
      <c r="F772">
        <v>12</v>
      </c>
      <c r="G772" t="s">
        <v>6</v>
      </c>
      <c r="H772">
        <v>7.5</v>
      </c>
      <c r="I772">
        <f t="shared" si="12"/>
        <v>7.5</v>
      </c>
    </row>
    <row r="773" spans="1:9" x14ac:dyDescent="0.3">
      <c r="A773">
        <v>1187</v>
      </c>
      <c r="B773">
        <v>1</v>
      </c>
      <c r="C773" t="s">
        <v>6</v>
      </c>
      <c r="D773">
        <v>1</v>
      </c>
      <c r="E773">
        <v>2024</v>
      </c>
      <c r="F773">
        <v>1</v>
      </c>
      <c r="G773" t="s">
        <v>6</v>
      </c>
      <c r="H773">
        <v>6.8</v>
      </c>
      <c r="I773">
        <f t="shared" si="12"/>
        <v>6.8</v>
      </c>
    </row>
    <row r="774" spans="1:9" x14ac:dyDescent="0.3">
      <c r="A774">
        <v>1188</v>
      </c>
      <c r="B774">
        <v>10</v>
      </c>
      <c r="C774" t="s">
        <v>6</v>
      </c>
      <c r="D774">
        <v>1</v>
      </c>
      <c r="E774">
        <v>2024</v>
      </c>
      <c r="F774">
        <v>10</v>
      </c>
      <c r="G774" t="s">
        <v>6</v>
      </c>
      <c r="H774">
        <v>7.5</v>
      </c>
      <c r="I774">
        <f t="shared" si="12"/>
        <v>7.5</v>
      </c>
    </row>
    <row r="775" spans="1:9" x14ac:dyDescent="0.3">
      <c r="A775">
        <v>1189</v>
      </c>
      <c r="B775">
        <v>14</v>
      </c>
      <c r="C775" t="s">
        <v>7</v>
      </c>
      <c r="D775">
        <v>2</v>
      </c>
      <c r="E775">
        <v>2024</v>
      </c>
      <c r="F775">
        <v>14</v>
      </c>
      <c r="G775" t="s">
        <v>7</v>
      </c>
      <c r="H775">
        <v>4.0999999999999996</v>
      </c>
      <c r="I775">
        <f t="shared" si="12"/>
        <v>8.1999999999999993</v>
      </c>
    </row>
    <row r="776" spans="1:9" x14ac:dyDescent="0.3">
      <c r="A776">
        <v>1190</v>
      </c>
      <c r="B776">
        <v>10</v>
      </c>
      <c r="C776" t="s">
        <v>7</v>
      </c>
      <c r="D776">
        <v>2</v>
      </c>
      <c r="E776">
        <v>2024</v>
      </c>
      <c r="F776">
        <v>10</v>
      </c>
      <c r="G776" t="s">
        <v>7</v>
      </c>
      <c r="H776">
        <v>5.3</v>
      </c>
      <c r="I776">
        <f t="shared" si="12"/>
        <v>10.6</v>
      </c>
    </row>
    <row r="777" spans="1:9" x14ac:dyDescent="0.3">
      <c r="A777">
        <v>1191</v>
      </c>
      <c r="B777">
        <v>1</v>
      </c>
      <c r="C777" t="s">
        <v>7</v>
      </c>
      <c r="D777">
        <v>2</v>
      </c>
      <c r="E777">
        <v>2024</v>
      </c>
      <c r="F777">
        <v>1</v>
      </c>
      <c r="G777" t="s">
        <v>7</v>
      </c>
      <c r="H777">
        <v>5.2</v>
      </c>
      <c r="I777">
        <f t="shared" si="12"/>
        <v>10.4</v>
      </c>
    </row>
    <row r="778" spans="1:9" x14ac:dyDescent="0.3">
      <c r="A778">
        <v>1192</v>
      </c>
      <c r="B778">
        <v>5</v>
      </c>
      <c r="C778" t="s">
        <v>7</v>
      </c>
      <c r="D778">
        <v>2</v>
      </c>
      <c r="E778">
        <v>2024</v>
      </c>
      <c r="F778">
        <v>5</v>
      </c>
      <c r="G778" t="s">
        <v>7</v>
      </c>
      <c r="H778">
        <v>5.3</v>
      </c>
      <c r="I778">
        <f t="shared" si="12"/>
        <v>10.6</v>
      </c>
    </row>
    <row r="779" spans="1:9" x14ac:dyDescent="0.3">
      <c r="A779">
        <v>1193</v>
      </c>
      <c r="B779">
        <v>7</v>
      </c>
      <c r="C779" t="s">
        <v>7</v>
      </c>
      <c r="D779">
        <v>1</v>
      </c>
      <c r="E779">
        <v>2024</v>
      </c>
      <c r="F779">
        <v>7</v>
      </c>
      <c r="G779" t="s">
        <v>7</v>
      </c>
      <c r="H779">
        <v>5.3</v>
      </c>
      <c r="I779">
        <f t="shared" si="12"/>
        <v>5.3</v>
      </c>
    </row>
    <row r="780" spans="1:9" x14ac:dyDescent="0.3">
      <c r="A780">
        <v>1194</v>
      </c>
      <c r="B780">
        <v>1</v>
      </c>
      <c r="C780" t="s">
        <v>7</v>
      </c>
      <c r="D780">
        <v>1</v>
      </c>
      <c r="E780">
        <v>2024</v>
      </c>
      <c r="F780">
        <v>1</v>
      </c>
      <c r="G780" t="s">
        <v>7</v>
      </c>
      <c r="H780">
        <v>5.2</v>
      </c>
      <c r="I780">
        <f t="shared" si="12"/>
        <v>5.2</v>
      </c>
    </row>
    <row r="781" spans="1:9" x14ac:dyDescent="0.3">
      <c r="A781">
        <v>1194</v>
      </c>
      <c r="B781">
        <v>3</v>
      </c>
      <c r="C781" t="s">
        <v>7</v>
      </c>
      <c r="D781">
        <v>1</v>
      </c>
      <c r="E781">
        <v>2024</v>
      </c>
      <c r="F781">
        <v>3</v>
      </c>
      <c r="G781" t="s">
        <v>7</v>
      </c>
      <c r="H781">
        <v>5.2</v>
      </c>
      <c r="I781">
        <f t="shared" si="12"/>
        <v>5.2</v>
      </c>
    </row>
    <row r="782" spans="1:9" x14ac:dyDescent="0.3">
      <c r="A782">
        <v>1195</v>
      </c>
      <c r="B782">
        <v>5</v>
      </c>
      <c r="C782" t="s">
        <v>8</v>
      </c>
      <c r="D782">
        <v>1</v>
      </c>
      <c r="E782">
        <v>2024</v>
      </c>
      <c r="F782">
        <v>5</v>
      </c>
      <c r="G782" t="s">
        <v>8</v>
      </c>
      <c r="H782">
        <v>4.2</v>
      </c>
      <c r="I782">
        <f t="shared" si="12"/>
        <v>4.2</v>
      </c>
    </row>
    <row r="783" spans="1:9" x14ac:dyDescent="0.3">
      <c r="A783">
        <v>1195</v>
      </c>
      <c r="B783">
        <v>9</v>
      </c>
      <c r="C783" t="s">
        <v>6</v>
      </c>
      <c r="D783">
        <v>1</v>
      </c>
      <c r="E783">
        <v>2024</v>
      </c>
      <c r="F783">
        <v>9</v>
      </c>
      <c r="G783" t="s">
        <v>6</v>
      </c>
      <c r="H783">
        <v>7.7</v>
      </c>
      <c r="I783">
        <f t="shared" si="12"/>
        <v>7.7</v>
      </c>
    </row>
    <row r="784" spans="1:9" x14ac:dyDescent="0.3">
      <c r="A784">
        <v>1196</v>
      </c>
      <c r="B784">
        <v>12</v>
      </c>
      <c r="C784" t="s">
        <v>6</v>
      </c>
      <c r="D784">
        <v>1</v>
      </c>
      <c r="E784">
        <v>2024</v>
      </c>
      <c r="F784">
        <v>12</v>
      </c>
      <c r="G784" t="s">
        <v>6</v>
      </c>
      <c r="H784">
        <v>7.5</v>
      </c>
      <c r="I784">
        <f t="shared" si="12"/>
        <v>7.5</v>
      </c>
    </row>
    <row r="785" spans="1:9" x14ac:dyDescent="0.3">
      <c r="A785">
        <v>1197</v>
      </c>
      <c r="B785">
        <v>6</v>
      </c>
      <c r="C785" t="s">
        <v>6</v>
      </c>
      <c r="D785">
        <v>2</v>
      </c>
      <c r="E785">
        <v>2024</v>
      </c>
      <c r="F785">
        <v>6</v>
      </c>
      <c r="G785" t="s">
        <v>6</v>
      </c>
      <c r="H785">
        <v>7.5</v>
      </c>
      <c r="I785">
        <f t="shared" si="12"/>
        <v>15</v>
      </c>
    </row>
    <row r="786" spans="1:9" x14ac:dyDescent="0.3">
      <c r="A786">
        <v>1198</v>
      </c>
      <c r="B786">
        <v>4</v>
      </c>
      <c r="C786" t="s">
        <v>7</v>
      </c>
      <c r="D786">
        <v>2</v>
      </c>
      <c r="E786">
        <v>2024</v>
      </c>
      <c r="F786">
        <v>4</v>
      </c>
      <c r="G786" t="s">
        <v>7</v>
      </c>
      <c r="H786">
        <v>4.8</v>
      </c>
      <c r="I786">
        <f t="shared" si="12"/>
        <v>9.6</v>
      </c>
    </row>
    <row r="787" spans="1:9" x14ac:dyDescent="0.3">
      <c r="A787">
        <v>1199</v>
      </c>
      <c r="B787">
        <v>5</v>
      </c>
      <c r="C787" t="s">
        <v>9</v>
      </c>
      <c r="D787">
        <v>2</v>
      </c>
      <c r="E787">
        <v>2024</v>
      </c>
      <c r="F787">
        <v>5</v>
      </c>
      <c r="G787" t="s">
        <v>9</v>
      </c>
      <c r="H787">
        <v>8.9</v>
      </c>
      <c r="I787">
        <f t="shared" si="12"/>
        <v>17.8</v>
      </c>
    </row>
    <row r="788" spans="1:9" x14ac:dyDescent="0.3">
      <c r="A788">
        <v>1200</v>
      </c>
      <c r="B788">
        <v>6</v>
      </c>
      <c r="C788" t="s">
        <v>7</v>
      </c>
      <c r="D788">
        <v>1</v>
      </c>
      <c r="E788">
        <v>2024</v>
      </c>
      <c r="F788">
        <v>6</v>
      </c>
      <c r="G788" t="s">
        <v>7</v>
      </c>
      <c r="H788">
        <v>5.3</v>
      </c>
      <c r="I788">
        <f t="shared" si="12"/>
        <v>5.3</v>
      </c>
    </row>
    <row r="789" spans="1:9" x14ac:dyDescent="0.3">
      <c r="A789">
        <v>1201</v>
      </c>
      <c r="B789">
        <v>5</v>
      </c>
      <c r="C789" t="s">
        <v>7</v>
      </c>
      <c r="D789">
        <v>2</v>
      </c>
      <c r="E789">
        <v>2024</v>
      </c>
      <c r="F789">
        <v>5</v>
      </c>
      <c r="G789" t="s">
        <v>7</v>
      </c>
      <c r="H789">
        <v>5.3</v>
      </c>
      <c r="I789">
        <f t="shared" si="12"/>
        <v>10.6</v>
      </c>
    </row>
    <row r="790" spans="1:9" x14ac:dyDescent="0.3">
      <c r="A790">
        <v>1202</v>
      </c>
      <c r="B790">
        <v>7</v>
      </c>
      <c r="C790" t="s">
        <v>6</v>
      </c>
      <c r="D790">
        <v>3</v>
      </c>
      <c r="E790">
        <v>2024</v>
      </c>
      <c r="F790">
        <v>7</v>
      </c>
      <c r="G790" t="s">
        <v>6</v>
      </c>
      <c r="H790">
        <v>7.5</v>
      </c>
      <c r="I790">
        <f t="shared" si="12"/>
        <v>22.5</v>
      </c>
    </row>
    <row r="791" spans="1:9" x14ac:dyDescent="0.3">
      <c r="A791">
        <v>1203</v>
      </c>
      <c r="B791">
        <v>8</v>
      </c>
      <c r="C791" t="s">
        <v>8</v>
      </c>
      <c r="D791">
        <v>1</v>
      </c>
      <c r="E791">
        <v>2024</v>
      </c>
      <c r="F791">
        <v>8</v>
      </c>
      <c r="G791" t="s">
        <v>8</v>
      </c>
      <c r="H791">
        <v>4.2</v>
      </c>
      <c r="I791">
        <f t="shared" si="12"/>
        <v>4.2</v>
      </c>
    </row>
    <row r="792" spans="1:9" x14ac:dyDescent="0.3">
      <c r="A792">
        <v>1203</v>
      </c>
      <c r="B792">
        <v>11</v>
      </c>
      <c r="C792" t="s">
        <v>6</v>
      </c>
      <c r="D792">
        <v>1</v>
      </c>
      <c r="E792">
        <v>2024</v>
      </c>
      <c r="F792">
        <v>11</v>
      </c>
      <c r="G792" t="s">
        <v>6</v>
      </c>
      <c r="H792">
        <v>7.5</v>
      </c>
      <c r="I792">
        <f t="shared" si="12"/>
        <v>7.5</v>
      </c>
    </row>
    <row r="793" spans="1:9" x14ac:dyDescent="0.3">
      <c r="A793">
        <v>1204</v>
      </c>
      <c r="B793">
        <v>5</v>
      </c>
      <c r="C793" t="s">
        <v>8</v>
      </c>
      <c r="D793">
        <v>1</v>
      </c>
      <c r="E793">
        <v>2024</v>
      </c>
      <c r="F793">
        <v>5</v>
      </c>
      <c r="G793" t="s">
        <v>8</v>
      </c>
      <c r="H793">
        <v>4.2</v>
      </c>
      <c r="I793">
        <f t="shared" si="12"/>
        <v>4.2</v>
      </c>
    </row>
    <row r="794" spans="1:9" x14ac:dyDescent="0.3">
      <c r="A794">
        <v>1205</v>
      </c>
      <c r="B794">
        <v>1</v>
      </c>
      <c r="C794" t="s">
        <v>6</v>
      </c>
      <c r="D794">
        <v>1</v>
      </c>
      <c r="E794">
        <v>2024</v>
      </c>
      <c r="F794">
        <v>1</v>
      </c>
      <c r="G794" t="s">
        <v>6</v>
      </c>
      <c r="H794">
        <v>6.8</v>
      </c>
      <c r="I794">
        <f t="shared" si="12"/>
        <v>6.8</v>
      </c>
    </row>
    <row r="795" spans="1:9" x14ac:dyDescent="0.3">
      <c r="A795">
        <v>1206</v>
      </c>
      <c r="B795">
        <v>4</v>
      </c>
      <c r="C795" t="s">
        <v>7</v>
      </c>
      <c r="D795">
        <v>1</v>
      </c>
      <c r="E795">
        <v>2024</v>
      </c>
      <c r="F795">
        <v>4</v>
      </c>
      <c r="G795" t="s">
        <v>7</v>
      </c>
      <c r="H795">
        <v>4.8</v>
      </c>
      <c r="I795">
        <f t="shared" si="12"/>
        <v>4.8</v>
      </c>
    </row>
    <row r="796" spans="1:9" x14ac:dyDescent="0.3">
      <c r="A796">
        <v>1206</v>
      </c>
      <c r="B796">
        <v>6</v>
      </c>
      <c r="C796" t="s">
        <v>6</v>
      </c>
      <c r="D796">
        <v>1</v>
      </c>
      <c r="E796">
        <v>2024</v>
      </c>
      <c r="F796">
        <v>6</v>
      </c>
      <c r="G796" t="s">
        <v>6</v>
      </c>
      <c r="H796">
        <v>7.5</v>
      </c>
      <c r="I796">
        <f t="shared" si="12"/>
        <v>7.5</v>
      </c>
    </row>
    <row r="797" spans="1:9" x14ac:dyDescent="0.3">
      <c r="A797">
        <v>1207</v>
      </c>
      <c r="B797">
        <v>8</v>
      </c>
      <c r="C797" t="s">
        <v>9</v>
      </c>
      <c r="D797">
        <v>1</v>
      </c>
      <c r="E797">
        <v>2024</v>
      </c>
      <c r="F797">
        <v>8</v>
      </c>
      <c r="G797" t="s">
        <v>9</v>
      </c>
      <c r="H797">
        <v>9.6</v>
      </c>
      <c r="I797">
        <f t="shared" si="12"/>
        <v>9.6</v>
      </c>
    </row>
    <row r="798" spans="1:9" x14ac:dyDescent="0.3">
      <c r="A798">
        <v>1208</v>
      </c>
      <c r="B798">
        <v>2</v>
      </c>
      <c r="C798" t="s">
        <v>6</v>
      </c>
      <c r="D798">
        <v>2</v>
      </c>
      <c r="E798">
        <v>2024</v>
      </c>
      <c r="F798">
        <v>2</v>
      </c>
      <c r="G798" t="s">
        <v>6</v>
      </c>
      <c r="H798">
        <v>6.8</v>
      </c>
      <c r="I798">
        <f t="shared" si="12"/>
        <v>13.6</v>
      </c>
    </row>
    <row r="799" spans="1:9" x14ac:dyDescent="0.3">
      <c r="A799">
        <v>1208</v>
      </c>
      <c r="B799">
        <v>10</v>
      </c>
      <c r="C799" t="s">
        <v>6</v>
      </c>
      <c r="D799">
        <v>1</v>
      </c>
      <c r="E799">
        <v>2024</v>
      </c>
      <c r="F799">
        <v>10</v>
      </c>
      <c r="G799" t="s">
        <v>6</v>
      </c>
      <c r="H799">
        <v>7.5</v>
      </c>
      <c r="I799">
        <f t="shared" si="12"/>
        <v>7.5</v>
      </c>
    </row>
    <row r="800" spans="1:9" x14ac:dyDescent="0.3">
      <c r="A800">
        <v>1209</v>
      </c>
      <c r="B800">
        <v>1</v>
      </c>
      <c r="C800" t="s">
        <v>6</v>
      </c>
      <c r="D800">
        <v>1</v>
      </c>
      <c r="E800">
        <v>2024</v>
      </c>
      <c r="F800">
        <v>1</v>
      </c>
      <c r="G800" t="s">
        <v>6</v>
      </c>
      <c r="H800">
        <v>6.8</v>
      </c>
      <c r="I800">
        <f t="shared" si="12"/>
        <v>6.8</v>
      </c>
    </row>
    <row r="801" spans="1:9" x14ac:dyDescent="0.3">
      <c r="A801">
        <v>1210</v>
      </c>
      <c r="B801">
        <v>9</v>
      </c>
      <c r="C801" t="s">
        <v>6</v>
      </c>
      <c r="D801">
        <v>2</v>
      </c>
      <c r="E801">
        <v>2024</v>
      </c>
      <c r="F801">
        <v>9</v>
      </c>
      <c r="G801" t="s">
        <v>6</v>
      </c>
      <c r="H801">
        <v>7.7</v>
      </c>
      <c r="I801">
        <f t="shared" si="12"/>
        <v>15.4</v>
      </c>
    </row>
    <row r="802" spans="1:9" x14ac:dyDescent="0.3">
      <c r="A802">
        <v>1211</v>
      </c>
      <c r="B802">
        <v>8</v>
      </c>
      <c r="C802" t="s">
        <v>6</v>
      </c>
      <c r="D802">
        <v>1</v>
      </c>
      <c r="E802">
        <v>2024</v>
      </c>
      <c r="F802">
        <v>8</v>
      </c>
      <c r="G802" t="s">
        <v>6</v>
      </c>
      <c r="H802">
        <v>7.7</v>
      </c>
      <c r="I802">
        <f t="shared" si="12"/>
        <v>7.7</v>
      </c>
    </row>
    <row r="803" spans="1:9" x14ac:dyDescent="0.3">
      <c r="A803">
        <v>1212</v>
      </c>
      <c r="B803">
        <v>1</v>
      </c>
      <c r="C803" t="s">
        <v>7</v>
      </c>
      <c r="D803">
        <v>1</v>
      </c>
      <c r="E803">
        <v>2024</v>
      </c>
      <c r="F803">
        <v>1</v>
      </c>
      <c r="G803" t="s">
        <v>7</v>
      </c>
      <c r="H803">
        <v>5.2</v>
      </c>
      <c r="I803">
        <f t="shared" si="12"/>
        <v>5.2</v>
      </c>
    </row>
    <row r="804" spans="1:9" x14ac:dyDescent="0.3">
      <c r="A804">
        <v>1212</v>
      </c>
      <c r="B804">
        <v>14</v>
      </c>
      <c r="C804" t="s">
        <v>6</v>
      </c>
      <c r="D804">
        <v>1</v>
      </c>
      <c r="E804">
        <v>2024</v>
      </c>
      <c r="F804">
        <v>14</v>
      </c>
      <c r="G804" t="s">
        <v>6</v>
      </c>
      <c r="H804">
        <v>7.6</v>
      </c>
      <c r="I804">
        <f t="shared" si="12"/>
        <v>7.6</v>
      </c>
    </row>
    <row r="805" spans="1:9" x14ac:dyDescent="0.3">
      <c r="A805">
        <v>1213</v>
      </c>
      <c r="B805">
        <v>9</v>
      </c>
      <c r="C805" t="s">
        <v>6</v>
      </c>
      <c r="D805">
        <v>1</v>
      </c>
      <c r="E805">
        <v>2024</v>
      </c>
      <c r="F805">
        <v>9</v>
      </c>
      <c r="G805" t="s">
        <v>6</v>
      </c>
      <c r="H805">
        <v>7.7</v>
      </c>
      <c r="I805">
        <f t="shared" si="12"/>
        <v>7.7</v>
      </c>
    </row>
    <row r="806" spans="1:9" x14ac:dyDescent="0.3">
      <c r="A806">
        <v>1214</v>
      </c>
      <c r="B806">
        <v>5</v>
      </c>
      <c r="C806" t="s">
        <v>9</v>
      </c>
      <c r="D806">
        <v>1</v>
      </c>
      <c r="E806">
        <v>2024</v>
      </c>
      <c r="F806">
        <v>5</v>
      </c>
      <c r="G806" t="s">
        <v>9</v>
      </c>
      <c r="H806">
        <v>8.9</v>
      </c>
      <c r="I806">
        <f t="shared" si="12"/>
        <v>8.9</v>
      </c>
    </row>
    <row r="807" spans="1:9" x14ac:dyDescent="0.3">
      <c r="A807">
        <v>1215</v>
      </c>
      <c r="B807">
        <v>9</v>
      </c>
      <c r="C807" t="s">
        <v>6</v>
      </c>
      <c r="D807">
        <v>1</v>
      </c>
      <c r="E807">
        <v>2024</v>
      </c>
      <c r="F807">
        <v>9</v>
      </c>
      <c r="G807" t="s">
        <v>6</v>
      </c>
      <c r="H807">
        <v>7.7</v>
      </c>
      <c r="I807">
        <f t="shared" si="12"/>
        <v>7.7</v>
      </c>
    </row>
    <row r="808" spans="1:9" x14ac:dyDescent="0.3">
      <c r="A808">
        <v>1216</v>
      </c>
      <c r="B808">
        <v>14</v>
      </c>
      <c r="C808" t="s">
        <v>6</v>
      </c>
      <c r="D808">
        <v>1</v>
      </c>
      <c r="E808">
        <v>2024</v>
      </c>
      <c r="F808">
        <v>14</v>
      </c>
      <c r="G808" t="s">
        <v>6</v>
      </c>
      <c r="H808">
        <v>7.6</v>
      </c>
      <c r="I808">
        <f t="shared" si="12"/>
        <v>7.6</v>
      </c>
    </row>
    <row r="809" spans="1:9" x14ac:dyDescent="0.3">
      <c r="A809">
        <v>1217</v>
      </c>
      <c r="B809">
        <v>7</v>
      </c>
      <c r="C809" t="s">
        <v>7</v>
      </c>
      <c r="D809">
        <v>1</v>
      </c>
      <c r="E809">
        <v>2024</v>
      </c>
      <c r="F809">
        <v>7</v>
      </c>
      <c r="G809" t="s">
        <v>7</v>
      </c>
      <c r="H809">
        <v>5.3</v>
      </c>
      <c r="I809">
        <f t="shared" si="12"/>
        <v>5.3</v>
      </c>
    </row>
    <row r="810" spans="1:9" x14ac:dyDescent="0.3">
      <c r="A810">
        <v>1218</v>
      </c>
      <c r="B810">
        <v>12</v>
      </c>
      <c r="C810" t="s">
        <v>6</v>
      </c>
      <c r="D810">
        <v>1</v>
      </c>
      <c r="E810">
        <v>2024</v>
      </c>
      <c r="F810">
        <v>12</v>
      </c>
      <c r="G810" t="s">
        <v>6</v>
      </c>
      <c r="H810">
        <v>7.5</v>
      </c>
      <c r="I810">
        <f t="shared" si="12"/>
        <v>7.5</v>
      </c>
    </row>
    <row r="811" spans="1:9" x14ac:dyDescent="0.3">
      <c r="A811">
        <v>1219</v>
      </c>
      <c r="B811">
        <v>5</v>
      </c>
      <c r="C811" t="s">
        <v>7</v>
      </c>
      <c r="D811">
        <v>2</v>
      </c>
      <c r="E811">
        <v>2024</v>
      </c>
      <c r="F811">
        <v>5</v>
      </c>
      <c r="G811" t="s">
        <v>7</v>
      </c>
      <c r="H811">
        <v>5.3</v>
      </c>
      <c r="I811">
        <f t="shared" si="12"/>
        <v>10.6</v>
      </c>
    </row>
    <row r="812" spans="1:9" x14ac:dyDescent="0.3">
      <c r="A812">
        <v>1220</v>
      </c>
      <c r="B812">
        <v>10</v>
      </c>
      <c r="C812" t="s">
        <v>6</v>
      </c>
      <c r="D812">
        <v>1</v>
      </c>
      <c r="E812">
        <v>2024</v>
      </c>
      <c r="F812">
        <v>10</v>
      </c>
      <c r="G812" t="s">
        <v>6</v>
      </c>
      <c r="H812">
        <v>7.5</v>
      </c>
      <c r="I812">
        <f t="shared" si="12"/>
        <v>7.5</v>
      </c>
    </row>
    <row r="813" spans="1:9" x14ac:dyDescent="0.3">
      <c r="A813">
        <v>1221</v>
      </c>
      <c r="B813">
        <v>6</v>
      </c>
      <c r="C813" t="s">
        <v>7</v>
      </c>
      <c r="D813">
        <v>2</v>
      </c>
      <c r="E813">
        <v>2024</v>
      </c>
      <c r="F813">
        <v>6</v>
      </c>
      <c r="G813" t="s">
        <v>7</v>
      </c>
      <c r="H813">
        <v>5.3</v>
      </c>
      <c r="I813">
        <f t="shared" si="12"/>
        <v>10.6</v>
      </c>
    </row>
    <row r="814" spans="1:9" x14ac:dyDescent="0.3">
      <c r="A814">
        <v>1222</v>
      </c>
      <c r="B814">
        <v>6</v>
      </c>
      <c r="C814" t="s">
        <v>6</v>
      </c>
      <c r="D814">
        <v>1</v>
      </c>
      <c r="E814">
        <v>2024</v>
      </c>
      <c r="F814">
        <v>6</v>
      </c>
      <c r="G814" t="s">
        <v>6</v>
      </c>
      <c r="H814">
        <v>7.5</v>
      </c>
      <c r="I814">
        <f t="shared" si="12"/>
        <v>7.5</v>
      </c>
    </row>
    <row r="815" spans="1:9" x14ac:dyDescent="0.3">
      <c r="A815">
        <v>1223</v>
      </c>
      <c r="B815">
        <v>9</v>
      </c>
      <c r="C815" t="s">
        <v>7</v>
      </c>
      <c r="D815">
        <v>3</v>
      </c>
      <c r="E815">
        <v>2024</v>
      </c>
      <c r="F815">
        <v>9</v>
      </c>
      <c r="G815" t="s">
        <v>7</v>
      </c>
      <c r="H815">
        <v>5.2</v>
      </c>
      <c r="I815">
        <f t="shared" si="12"/>
        <v>15.600000000000001</v>
      </c>
    </row>
    <row r="816" spans="1:9" x14ac:dyDescent="0.3">
      <c r="A816">
        <v>1224</v>
      </c>
      <c r="B816">
        <v>1</v>
      </c>
      <c r="C816" t="s">
        <v>6</v>
      </c>
      <c r="D816">
        <v>1</v>
      </c>
      <c r="E816">
        <v>2024</v>
      </c>
      <c r="F816">
        <v>1</v>
      </c>
      <c r="G816" t="s">
        <v>6</v>
      </c>
      <c r="H816">
        <v>6.8</v>
      </c>
      <c r="I816">
        <f t="shared" si="12"/>
        <v>6.8</v>
      </c>
    </row>
    <row r="817" spans="1:9" x14ac:dyDescent="0.3">
      <c r="A817">
        <v>1225</v>
      </c>
      <c r="B817">
        <v>2</v>
      </c>
      <c r="C817" t="s">
        <v>7</v>
      </c>
      <c r="D817">
        <v>1</v>
      </c>
      <c r="E817">
        <v>2024</v>
      </c>
      <c r="F817">
        <v>2</v>
      </c>
      <c r="G817" t="s">
        <v>7</v>
      </c>
      <c r="H817">
        <v>5.2</v>
      </c>
      <c r="I817">
        <f t="shared" si="12"/>
        <v>5.2</v>
      </c>
    </row>
    <row r="818" spans="1:9" x14ac:dyDescent="0.3">
      <c r="A818">
        <v>1226</v>
      </c>
      <c r="B818">
        <v>2</v>
      </c>
      <c r="C818" t="s">
        <v>7</v>
      </c>
      <c r="D818">
        <v>1</v>
      </c>
      <c r="E818">
        <v>2024</v>
      </c>
      <c r="F818">
        <v>2</v>
      </c>
      <c r="G818" t="s">
        <v>7</v>
      </c>
      <c r="H818">
        <v>5.2</v>
      </c>
      <c r="I818">
        <f t="shared" si="12"/>
        <v>5.2</v>
      </c>
    </row>
    <row r="819" spans="1:9" x14ac:dyDescent="0.3">
      <c r="A819">
        <v>1227</v>
      </c>
      <c r="B819">
        <v>7</v>
      </c>
      <c r="C819" t="s">
        <v>7</v>
      </c>
      <c r="D819">
        <v>3</v>
      </c>
      <c r="E819">
        <v>2024</v>
      </c>
      <c r="F819">
        <v>7</v>
      </c>
      <c r="G819" t="s">
        <v>7</v>
      </c>
      <c r="H819">
        <v>5.3</v>
      </c>
      <c r="I819">
        <f t="shared" si="12"/>
        <v>15.899999999999999</v>
      </c>
    </row>
    <row r="820" spans="1:9" x14ac:dyDescent="0.3">
      <c r="A820">
        <v>1228</v>
      </c>
      <c r="B820">
        <v>4</v>
      </c>
      <c r="C820" t="s">
        <v>7</v>
      </c>
      <c r="D820">
        <v>1</v>
      </c>
      <c r="E820">
        <v>2024</v>
      </c>
      <c r="F820">
        <v>4</v>
      </c>
      <c r="G820" t="s">
        <v>7</v>
      </c>
      <c r="H820">
        <v>4.8</v>
      </c>
      <c r="I820">
        <f t="shared" si="12"/>
        <v>4.8</v>
      </c>
    </row>
    <row r="821" spans="1:9" x14ac:dyDescent="0.3">
      <c r="A821">
        <v>1229</v>
      </c>
      <c r="B821">
        <v>4</v>
      </c>
      <c r="C821" t="s">
        <v>7</v>
      </c>
      <c r="D821">
        <v>2</v>
      </c>
      <c r="E821">
        <v>2024</v>
      </c>
      <c r="F821">
        <v>4</v>
      </c>
      <c r="G821" t="s">
        <v>7</v>
      </c>
      <c r="H821">
        <v>4.8</v>
      </c>
      <c r="I821">
        <f t="shared" si="12"/>
        <v>9.6</v>
      </c>
    </row>
    <row r="822" spans="1:9" x14ac:dyDescent="0.3">
      <c r="A822">
        <v>1230</v>
      </c>
      <c r="B822">
        <v>9</v>
      </c>
      <c r="C822" t="s">
        <v>6</v>
      </c>
      <c r="D822">
        <v>1</v>
      </c>
      <c r="E822">
        <v>2024</v>
      </c>
      <c r="F822">
        <v>9</v>
      </c>
      <c r="G822" t="s">
        <v>6</v>
      </c>
      <c r="H822">
        <v>7.7</v>
      </c>
      <c r="I822">
        <f t="shared" si="12"/>
        <v>7.7</v>
      </c>
    </row>
    <row r="823" spans="1:9" x14ac:dyDescent="0.3">
      <c r="A823">
        <v>1231</v>
      </c>
      <c r="B823">
        <v>1</v>
      </c>
      <c r="C823" t="s">
        <v>7</v>
      </c>
      <c r="D823">
        <v>1</v>
      </c>
      <c r="E823">
        <v>2024</v>
      </c>
      <c r="F823">
        <v>1</v>
      </c>
      <c r="G823" t="s">
        <v>7</v>
      </c>
      <c r="H823">
        <v>5.2</v>
      </c>
      <c r="I823">
        <f t="shared" si="12"/>
        <v>5.2</v>
      </c>
    </row>
    <row r="824" spans="1:9" x14ac:dyDescent="0.3">
      <c r="A824">
        <v>1231</v>
      </c>
      <c r="B824">
        <v>4</v>
      </c>
      <c r="C824" t="s">
        <v>7</v>
      </c>
      <c r="D824">
        <v>1</v>
      </c>
      <c r="E824">
        <v>2024</v>
      </c>
      <c r="F824">
        <v>4</v>
      </c>
      <c r="G824" t="s">
        <v>7</v>
      </c>
      <c r="H824">
        <v>4.8</v>
      </c>
      <c r="I824">
        <f t="shared" si="12"/>
        <v>4.8</v>
      </c>
    </row>
    <row r="825" spans="1:9" x14ac:dyDescent="0.3">
      <c r="A825">
        <v>1232</v>
      </c>
      <c r="B825">
        <v>10</v>
      </c>
      <c r="C825" t="s">
        <v>7</v>
      </c>
      <c r="D825">
        <v>2</v>
      </c>
      <c r="E825">
        <v>2024</v>
      </c>
      <c r="F825">
        <v>10</v>
      </c>
      <c r="G825" t="s">
        <v>7</v>
      </c>
      <c r="H825">
        <v>5.3</v>
      </c>
      <c r="I825">
        <f t="shared" si="12"/>
        <v>10.6</v>
      </c>
    </row>
    <row r="826" spans="1:9" x14ac:dyDescent="0.3">
      <c r="A826">
        <v>1233</v>
      </c>
      <c r="B826">
        <v>2</v>
      </c>
      <c r="C826" t="s">
        <v>7</v>
      </c>
      <c r="D826">
        <v>1</v>
      </c>
      <c r="E826">
        <v>2024</v>
      </c>
      <c r="F826">
        <v>2</v>
      </c>
      <c r="G826" t="s">
        <v>7</v>
      </c>
      <c r="H826">
        <v>5.2</v>
      </c>
      <c r="I826">
        <f t="shared" si="12"/>
        <v>5.2</v>
      </c>
    </row>
    <row r="827" spans="1:9" x14ac:dyDescent="0.3">
      <c r="A827">
        <v>1233</v>
      </c>
      <c r="B827">
        <v>7</v>
      </c>
      <c r="C827" t="s">
        <v>7</v>
      </c>
      <c r="D827">
        <v>1</v>
      </c>
      <c r="E827">
        <v>2024</v>
      </c>
      <c r="F827">
        <v>7</v>
      </c>
      <c r="G827" t="s">
        <v>7</v>
      </c>
      <c r="H827">
        <v>5.3</v>
      </c>
      <c r="I827">
        <f t="shared" si="12"/>
        <v>5.3</v>
      </c>
    </row>
    <row r="828" spans="1:9" x14ac:dyDescent="0.3">
      <c r="A828">
        <v>1234</v>
      </c>
      <c r="B828">
        <v>1</v>
      </c>
      <c r="C828" t="s">
        <v>9</v>
      </c>
      <c r="D828">
        <v>2</v>
      </c>
      <c r="E828">
        <v>2024</v>
      </c>
      <c r="F828">
        <v>1</v>
      </c>
      <c r="G828" t="s">
        <v>9</v>
      </c>
      <c r="H828">
        <v>9.9</v>
      </c>
      <c r="I828">
        <f t="shared" si="12"/>
        <v>19.8</v>
      </c>
    </row>
    <row r="829" spans="1:9" x14ac:dyDescent="0.3">
      <c r="A829">
        <v>1235</v>
      </c>
      <c r="B829">
        <v>9</v>
      </c>
      <c r="C829" t="s">
        <v>8</v>
      </c>
      <c r="D829">
        <v>1</v>
      </c>
      <c r="E829">
        <v>2024</v>
      </c>
      <c r="F829">
        <v>9</v>
      </c>
      <c r="G829" t="s">
        <v>8</v>
      </c>
      <c r="H829">
        <v>4.0999999999999996</v>
      </c>
      <c r="I829">
        <f t="shared" si="12"/>
        <v>4.0999999999999996</v>
      </c>
    </row>
    <row r="830" spans="1:9" x14ac:dyDescent="0.3">
      <c r="A830">
        <v>1236</v>
      </c>
      <c r="B830">
        <v>9</v>
      </c>
      <c r="C830" t="s">
        <v>8</v>
      </c>
      <c r="D830">
        <v>1</v>
      </c>
      <c r="E830">
        <v>2024</v>
      </c>
      <c r="F830">
        <v>9</v>
      </c>
      <c r="G830" t="s">
        <v>8</v>
      </c>
      <c r="H830">
        <v>4.0999999999999996</v>
      </c>
      <c r="I830">
        <f t="shared" si="12"/>
        <v>4.0999999999999996</v>
      </c>
    </row>
    <row r="831" spans="1:9" x14ac:dyDescent="0.3">
      <c r="A831">
        <v>1237</v>
      </c>
      <c r="B831">
        <v>8</v>
      </c>
      <c r="C831" t="s">
        <v>9</v>
      </c>
      <c r="D831">
        <v>1</v>
      </c>
      <c r="E831">
        <v>2024</v>
      </c>
      <c r="F831">
        <v>8</v>
      </c>
      <c r="G831" t="s">
        <v>9</v>
      </c>
      <c r="H831">
        <v>9.6</v>
      </c>
      <c r="I831">
        <f t="shared" si="12"/>
        <v>9.6</v>
      </c>
    </row>
    <row r="832" spans="1:9" x14ac:dyDescent="0.3">
      <c r="A832">
        <v>1238</v>
      </c>
      <c r="B832">
        <v>2</v>
      </c>
      <c r="C832" t="s">
        <v>7</v>
      </c>
      <c r="D832">
        <v>1</v>
      </c>
      <c r="E832">
        <v>2024</v>
      </c>
      <c r="F832">
        <v>2</v>
      </c>
      <c r="G832" t="s">
        <v>7</v>
      </c>
      <c r="H832">
        <v>5.2</v>
      </c>
      <c r="I832">
        <f t="shared" si="12"/>
        <v>5.2</v>
      </c>
    </row>
    <row r="833" spans="1:9" x14ac:dyDescent="0.3">
      <c r="A833">
        <v>1239</v>
      </c>
      <c r="B833">
        <v>4</v>
      </c>
      <c r="C833" t="s">
        <v>7</v>
      </c>
      <c r="D833">
        <v>1</v>
      </c>
      <c r="E833">
        <v>2024</v>
      </c>
      <c r="F833">
        <v>4</v>
      </c>
      <c r="G833" t="s">
        <v>7</v>
      </c>
      <c r="H833">
        <v>4.8</v>
      </c>
      <c r="I833">
        <f t="shared" si="12"/>
        <v>4.8</v>
      </c>
    </row>
    <row r="834" spans="1:9" x14ac:dyDescent="0.3">
      <c r="A834">
        <v>1240</v>
      </c>
      <c r="B834">
        <v>9</v>
      </c>
      <c r="C834" t="s">
        <v>6</v>
      </c>
      <c r="D834">
        <v>1</v>
      </c>
      <c r="E834">
        <v>2024</v>
      </c>
      <c r="F834">
        <v>9</v>
      </c>
      <c r="G834" t="s">
        <v>6</v>
      </c>
      <c r="H834">
        <v>7.7</v>
      </c>
      <c r="I834">
        <f t="shared" si="12"/>
        <v>7.7</v>
      </c>
    </row>
    <row r="835" spans="1:9" x14ac:dyDescent="0.3">
      <c r="A835">
        <v>1241</v>
      </c>
      <c r="B835">
        <v>7</v>
      </c>
      <c r="C835" t="s">
        <v>7</v>
      </c>
      <c r="D835">
        <v>1</v>
      </c>
      <c r="E835">
        <v>2024</v>
      </c>
      <c r="F835">
        <v>7</v>
      </c>
      <c r="G835" t="s">
        <v>7</v>
      </c>
      <c r="H835">
        <v>5.3</v>
      </c>
      <c r="I835">
        <f t="shared" ref="I835:I898" si="13">D835*H835</f>
        <v>5.3</v>
      </c>
    </row>
    <row r="836" spans="1:9" x14ac:dyDescent="0.3">
      <c r="A836">
        <v>1242</v>
      </c>
      <c r="B836">
        <v>2</v>
      </c>
      <c r="C836" t="s">
        <v>7</v>
      </c>
      <c r="D836">
        <v>1</v>
      </c>
      <c r="E836">
        <v>2024</v>
      </c>
      <c r="F836">
        <v>2</v>
      </c>
      <c r="G836" t="s">
        <v>7</v>
      </c>
      <c r="H836">
        <v>5.2</v>
      </c>
      <c r="I836">
        <f t="shared" si="13"/>
        <v>5.2</v>
      </c>
    </row>
    <row r="837" spans="1:9" x14ac:dyDescent="0.3">
      <c r="A837">
        <v>1242</v>
      </c>
      <c r="B837">
        <v>13</v>
      </c>
      <c r="C837" t="s">
        <v>8</v>
      </c>
      <c r="D837">
        <v>1</v>
      </c>
      <c r="E837">
        <v>2024</v>
      </c>
      <c r="F837">
        <v>13</v>
      </c>
      <c r="G837" t="s">
        <v>8</v>
      </c>
      <c r="H837">
        <v>4.0999999999999996</v>
      </c>
      <c r="I837">
        <f t="shared" si="13"/>
        <v>4.0999999999999996</v>
      </c>
    </row>
    <row r="838" spans="1:9" x14ac:dyDescent="0.3">
      <c r="A838">
        <v>1243</v>
      </c>
      <c r="B838">
        <v>8</v>
      </c>
      <c r="C838" t="s">
        <v>6</v>
      </c>
      <c r="D838">
        <v>1</v>
      </c>
      <c r="E838">
        <v>2024</v>
      </c>
      <c r="F838">
        <v>8</v>
      </c>
      <c r="G838" t="s">
        <v>6</v>
      </c>
      <c r="H838">
        <v>7.7</v>
      </c>
      <c r="I838">
        <f t="shared" si="13"/>
        <v>7.7</v>
      </c>
    </row>
    <row r="839" spans="1:9" x14ac:dyDescent="0.3">
      <c r="A839">
        <v>1244</v>
      </c>
      <c r="B839">
        <v>7</v>
      </c>
      <c r="C839" t="s">
        <v>6</v>
      </c>
      <c r="D839">
        <v>1</v>
      </c>
      <c r="E839">
        <v>2024</v>
      </c>
      <c r="F839">
        <v>7</v>
      </c>
      <c r="G839" t="s">
        <v>6</v>
      </c>
      <c r="H839">
        <v>7.5</v>
      </c>
      <c r="I839">
        <f t="shared" si="13"/>
        <v>7.5</v>
      </c>
    </row>
    <row r="840" spans="1:9" x14ac:dyDescent="0.3">
      <c r="A840">
        <v>1244</v>
      </c>
      <c r="B840">
        <v>9</v>
      </c>
      <c r="C840" t="s">
        <v>7</v>
      </c>
      <c r="D840">
        <v>1</v>
      </c>
      <c r="E840">
        <v>2024</v>
      </c>
      <c r="F840">
        <v>9</v>
      </c>
      <c r="G840" t="s">
        <v>7</v>
      </c>
      <c r="H840">
        <v>5.2</v>
      </c>
      <c r="I840">
        <f t="shared" si="13"/>
        <v>5.2</v>
      </c>
    </row>
    <row r="841" spans="1:9" x14ac:dyDescent="0.3">
      <c r="A841">
        <v>1245</v>
      </c>
      <c r="B841">
        <v>8</v>
      </c>
      <c r="C841" t="s">
        <v>9</v>
      </c>
      <c r="D841">
        <v>1</v>
      </c>
      <c r="E841">
        <v>2024</v>
      </c>
      <c r="F841">
        <v>8</v>
      </c>
      <c r="G841" t="s">
        <v>9</v>
      </c>
      <c r="H841">
        <v>9.6</v>
      </c>
      <c r="I841">
        <f t="shared" si="13"/>
        <v>9.6</v>
      </c>
    </row>
    <row r="842" spans="1:9" x14ac:dyDescent="0.3">
      <c r="A842">
        <v>1246</v>
      </c>
      <c r="B842">
        <v>7</v>
      </c>
      <c r="C842" t="s">
        <v>7</v>
      </c>
      <c r="D842">
        <v>1</v>
      </c>
      <c r="E842">
        <v>2024</v>
      </c>
      <c r="F842">
        <v>7</v>
      </c>
      <c r="G842" t="s">
        <v>7</v>
      </c>
      <c r="H842">
        <v>5.3</v>
      </c>
      <c r="I842">
        <f t="shared" si="13"/>
        <v>5.3</v>
      </c>
    </row>
    <row r="843" spans="1:9" x14ac:dyDescent="0.3">
      <c r="A843">
        <v>1247</v>
      </c>
      <c r="B843">
        <v>9</v>
      </c>
      <c r="C843" t="s">
        <v>6</v>
      </c>
      <c r="D843">
        <v>1</v>
      </c>
      <c r="E843">
        <v>2024</v>
      </c>
      <c r="F843">
        <v>9</v>
      </c>
      <c r="G843" t="s">
        <v>6</v>
      </c>
      <c r="H843">
        <v>7.7</v>
      </c>
      <c r="I843">
        <f t="shared" si="13"/>
        <v>7.7</v>
      </c>
    </row>
    <row r="844" spans="1:9" x14ac:dyDescent="0.3">
      <c r="A844">
        <v>1248</v>
      </c>
      <c r="B844">
        <v>1</v>
      </c>
      <c r="C844" t="s">
        <v>6</v>
      </c>
      <c r="D844">
        <v>1</v>
      </c>
      <c r="E844">
        <v>2024</v>
      </c>
      <c r="F844">
        <v>1</v>
      </c>
      <c r="G844" t="s">
        <v>6</v>
      </c>
      <c r="H844">
        <v>6.8</v>
      </c>
      <c r="I844">
        <f t="shared" si="13"/>
        <v>6.8</v>
      </c>
    </row>
    <row r="845" spans="1:9" x14ac:dyDescent="0.3">
      <c r="A845">
        <v>1249</v>
      </c>
      <c r="B845">
        <v>2</v>
      </c>
      <c r="C845" t="s">
        <v>7</v>
      </c>
      <c r="D845">
        <v>1</v>
      </c>
      <c r="E845">
        <v>2024</v>
      </c>
      <c r="F845">
        <v>2</v>
      </c>
      <c r="G845" t="s">
        <v>7</v>
      </c>
      <c r="H845">
        <v>5.2</v>
      </c>
      <c r="I845">
        <f t="shared" si="13"/>
        <v>5.2</v>
      </c>
    </row>
    <row r="846" spans="1:9" x14ac:dyDescent="0.3">
      <c r="A846">
        <v>1249</v>
      </c>
      <c r="B846">
        <v>2</v>
      </c>
      <c r="C846" t="s">
        <v>8</v>
      </c>
      <c r="D846">
        <v>1</v>
      </c>
      <c r="E846">
        <v>2024</v>
      </c>
      <c r="F846">
        <v>2</v>
      </c>
      <c r="G846" t="s">
        <v>8</v>
      </c>
      <c r="H846">
        <v>4</v>
      </c>
      <c r="I846">
        <f t="shared" si="13"/>
        <v>4</v>
      </c>
    </row>
    <row r="847" spans="1:9" x14ac:dyDescent="0.3">
      <c r="A847">
        <v>1250</v>
      </c>
      <c r="B847">
        <v>5</v>
      </c>
      <c r="C847" t="s">
        <v>7</v>
      </c>
      <c r="D847">
        <v>2</v>
      </c>
      <c r="E847">
        <v>2024</v>
      </c>
      <c r="F847">
        <v>5</v>
      </c>
      <c r="G847" t="s">
        <v>7</v>
      </c>
      <c r="H847">
        <v>5.3</v>
      </c>
      <c r="I847">
        <f t="shared" si="13"/>
        <v>10.6</v>
      </c>
    </row>
    <row r="848" spans="1:9" x14ac:dyDescent="0.3">
      <c r="A848">
        <v>1251</v>
      </c>
      <c r="B848">
        <v>1</v>
      </c>
      <c r="C848" t="s">
        <v>6</v>
      </c>
      <c r="D848">
        <v>1</v>
      </c>
      <c r="E848">
        <v>2024</v>
      </c>
      <c r="F848">
        <v>1</v>
      </c>
      <c r="G848" t="s">
        <v>6</v>
      </c>
      <c r="H848">
        <v>6.8</v>
      </c>
      <c r="I848">
        <f t="shared" si="13"/>
        <v>6.8</v>
      </c>
    </row>
    <row r="849" spans="1:9" x14ac:dyDescent="0.3">
      <c r="A849">
        <v>1252</v>
      </c>
      <c r="B849">
        <v>10</v>
      </c>
      <c r="C849" t="s">
        <v>7</v>
      </c>
      <c r="D849">
        <v>4</v>
      </c>
      <c r="E849">
        <v>2024</v>
      </c>
      <c r="F849">
        <v>10</v>
      </c>
      <c r="G849" t="s">
        <v>7</v>
      </c>
      <c r="H849">
        <v>5.3</v>
      </c>
      <c r="I849">
        <f t="shared" si="13"/>
        <v>21.2</v>
      </c>
    </row>
    <row r="850" spans="1:9" x14ac:dyDescent="0.3">
      <c r="A850">
        <v>1252</v>
      </c>
      <c r="B850">
        <v>13</v>
      </c>
      <c r="C850" t="s">
        <v>6</v>
      </c>
      <c r="D850">
        <v>1</v>
      </c>
      <c r="E850">
        <v>2024</v>
      </c>
      <c r="F850">
        <v>13</v>
      </c>
      <c r="G850" t="s">
        <v>6</v>
      </c>
      <c r="H850">
        <v>7.5</v>
      </c>
      <c r="I850">
        <f t="shared" si="13"/>
        <v>7.5</v>
      </c>
    </row>
    <row r="851" spans="1:9" x14ac:dyDescent="0.3">
      <c r="A851">
        <v>1253</v>
      </c>
      <c r="B851">
        <v>13</v>
      </c>
      <c r="C851" t="s">
        <v>6</v>
      </c>
      <c r="D851">
        <v>1</v>
      </c>
      <c r="E851">
        <v>2024</v>
      </c>
      <c r="F851">
        <v>13</v>
      </c>
      <c r="G851" t="s">
        <v>6</v>
      </c>
      <c r="H851">
        <v>7.5</v>
      </c>
      <c r="I851">
        <f t="shared" si="13"/>
        <v>7.5</v>
      </c>
    </row>
    <row r="852" spans="1:9" x14ac:dyDescent="0.3">
      <c r="A852">
        <v>1254</v>
      </c>
      <c r="B852">
        <v>4</v>
      </c>
      <c r="C852" t="s">
        <v>7</v>
      </c>
      <c r="D852">
        <v>2</v>
      </c>
      <c r="E852">
        <v>2024</v>
      </c>
      <c r="F852">
        <v>4</v>
      </c>
      <c r="G852" t="s">
        <v>7</v>
      </c>
      <c r="H852">
        <v>4.8</v>
      </c>
      <c r="I852">
        <f t="shared" si="13"/>
        <v>9.6</v>
      </c>
    </row>
    <row r="853" spans="1:9" x14ac:dyDescent="0.3">
      <c r="A853">
        <v>1255</v>
      </c>
      <c r="B853">
        <v>3</v>
      </c>
      <c r="C853" t="s">
        <v>6</v>
      </c>
      <c r="D853">
        <v>1</v>
      </c>
      <c r="E853">
        <v>2024</v>
      </c>
      <c r="F853">
        <v>3</v>
      </c>
      <c r="G853" t="s">
        <v>6</v>
      </c>
      <c r="H853">
        <v>6.8</v>
      </c>
      <c r="I853">
        <f t="shared" si="13"/>
        <v>6.8</v>
      </c>
    </row>
    <row r="854" spans="1:9" x14ac:dyDescent="0.3">
      <c r="A854">
        <v>1255</v>
      </c>
      <c r="B854">
        <v>4</v>
      </c>
      <c r="C854" t="s">
        <v>6</v>
      </c>
      <c r="D854">
        <v>1</v>
      </c>
      <c r="E854">
        <v>2024</v>
      </c>
      <c r="F854">
        <v>4</v>
      </c>
      <c r="G854" t="s">
        <v>6</v>
      </c>
      <c r="H854">
        <v>6.8</v>
      </c>
      <c r="I854">
        <f t="shared" si="13"/>
        <v>6.8</v>
      </c>
    </row>
    <row r="855" spans="1:9" x14ac:dyDescent="0.3">
      <c r="A855">
        <v>1256</v>
      </c>
      <c r="B855">
        <v>5</v>
      </c>
      <c r="C855" t="s">
        <v>9</v>
      </c>
      <c r="D855">
        <v>2</v>
      </c>
      <c r="E855">
        <v>2024</v>
      </c>
      <c r="F855">
        <v>5</v>
      </c>
      <c r="G855" t="s">
        <v>9</v>
      </c>
      <c r="H855">
        <v>8.9</v>
      </c>
      <c r="I855">
        <f t="shared" si="13"/>
        <v>17.8</v>
      </c>
    </row>
    <row r="856" spans="1:9" x14ac:dyDescent="0.3">
      <c r="A856">
        <v>1257</v>
      </c>
      <c r="B856">
        <v>2</v>
      </c>
      <c r="C856" t="s">
        <v>7</v>
      </c>
      <c r="D856">
        <v>1</v>
      </c>
      <c r="E856">
        <v>2024</v>
      </c>
      <c r="F856">
        <v>2</v>
      </c>
      <c r="G856" t="s">
        <v>7</v>
      </c>
      <c r="H856">
        <v>5.2</v>
      </c>
      <c r="I856">
        <f t="shared" si="13"/>
        <v>5.2</v>
      </c>
    </row>
    <row r="857" spans="1:9" x14ac:dyDescent="0.3">
      <c r="A857">
        <v>1258</v>
      </c>
      <c r="B857">
        <v>7</v>
      </c>
      <c r="C857" t="s">
        <v>7</v>
      </c>
      <c r="D857">
        <v>1</v>
      </c>
      <c r="E857">
        <v>2024</v>
      </c>
      <c r="F857">
        <v>7</v>
      </c>
      <c r="G857" t="s">
        <v>7</v>
      </c>
      <c r="H857">
        <v>5.3</v>
      </c>
      <c r="I857">
        <f t="shared" si="13"/>
        <v>5.3</v>
      </c>
    </row>
    <row r="858" spans="1:9" x14ac:dyDescent="0.3">
      <c r="A858">
        <v>1259</v>
      </c>
      <c r="B858">
        <v>14</v>
      </c>
      <c r="C858" t="s">
        <v>6</v>
      </c>
      <c r="D858">
        <v>1</v>
      </c>
      <c r="E858">
        <v>2024</v>
      </c>
      <c r="F858">
        <v>14</v>
      </c>
      <c r="G858" t="s">
        <v>6</v>
      </c>
      <c r="H858">
        <v>7.6</v>
      </c>
      <c r="I858">
        <f t="shared" si="13"/>
        <v>7.6</v>
      </c>
    </row>
    <row r="859" spans="1:9" x14ac:dyDescent="0.3">
      <c r="A859">
        <v>1260</v>
      </c>
      <c r="B859">
        <v>12</v>
      </c>
      <c r="C859" t="s">
        <v>6</v>
      </c>
      <c r="D859">
        <v>1</v>
      </c>
      <c r="E859">
        <v>2024</v>
      </c>
      <c r="F859">
        <v>12</v>
      </c>
      <c r="G859" t="s">
        <v>6</v>
      </c>
      <c r="H859">
        <v>7.5</v>
      </c>
      <c r="I859">
        <f t="shared" si="13"/>
        <v>7.5</v>
      </c>
    </row>
    <row r="860" spans="1:9" x14ac:dyDescent="0.3">
      <c r="A860">
        <v>1261</v>
      </c>
      <c r="B860">
        <v>11</v>
      </c>
      <c r="C860" t="s">
        <v>7</v>
      </c>
      <c r="D860">
        <v>1</v>
      </c>
      <c r="E860">
        <v>2024</v>
      </c>
      <c r="F860">
        <v>11</v>
      </c>
      <c r="G860" t="s">
        <v>7</v>
      </c>
      <c r="H860">
        <v>5.3</v>
      </c>
      <c r="I860">
        <f t="shared" si="13"/>
        <v>5.3</v>
      </c>
    </row>
    <row r="861" spans="1:9" x14ac:dyDescent="0.3">
      <c r="A861">
        <v>1262</v>
      </c>
      <c r="B861">
        <v>4</v>
      </c>
      <c r="C861" t="s">
        <v>7</v>
      </c>
      <c r="D861">
        <v>2</v>
      </c>
      <c r="E861">
        <v>2024</v>
      </c>
      <c r="F861">
        <v>4</v>
      </c>
      <c r="G861" t="s">
        <v>7</v>
      </c>
      <c r="H861">
        <v>4.8</v>
      </c>
      <c r="I861">
        <f t="shared" si="13"/>
        <v>9.6</v>
      </c>
    </row>
    <row r="862" spans="1:9" x14ac:dyDescent="0.3">
      <c r="A862">
        <v>1263</v>
      </c>
      <c r="B862">
        <v>11</v>
      </c>
      <c r="C862" t="s">
        <v>6</v>
      </c>
      <c r="D862">
        <v>1</v>
      </c>
      <c r="E862">
        <v>2024</v>
      </c>
      <c r="F862">
        <v>11</v>
      </c>
      <c r="G862" t="s">
        <v>6</v>
      </c>
      <c r="H862">
        <v>7.5</v>
      </c>
      <c r="I862">
        <f t="shared" si="13"/>
        <v>7.5</v>
      </c>
    </row>
    <row r="863" spans="1:9" x14ac:dyDescent="0.3">
      <c r="A863">
        <v>1264</v>
      </c>
      <c r="B863">
        <v>6</v>
      </c>
      <c r="C863" t="s">
        <v>7</v>
      </c>
      <c r="D863">
        <v>1</v>
      </c>
      <c r="E863">
        <v>2024</v>
      </c>
      <c r="F863">
        <v>6</v>
      </c>
      <c r="G863" t="s">
        <v>7</v>
      </c>
      <c r="H863">
        <v>5.3</v>
      </c>
      <c r="I863">
        <f t="shared" si="13"/>
        <v>5.3</v>
      </c>
    </row>
    <row r="864" spans="1:9" x14ac:dyDescent="0.3">
      <c r="A864">
        <v>1265</v>
      </c>
      <c r="B864">
        <v>1</v>
      </c>
      <c r="C864" t="s">
        <v>6</v>
      </c>
      <c r="D864">
        <v>1</v>
      </c>
      <c r="E864">
        <v>2024</v>
      </c>
      <c r="F864">
        <v>1</v>
      </c>
      <c r="G864" t="s">
        <v>6</v>
      </c>
      <c r="H864">
        <v>6.8</v>
      </c>
      <c r="I864">
        <f t="shared" si="13"/>
        <v>6.8</v>
      </c>
    </row>
    <row r="865" spans="1:9" x14ac:dyDescent="0.3">
      <c r="A865">
        <v>1266</v>
      </c>
      <c r="B865">
        <v>8</v>
      </c>
      <c r="C865" t="s">
        <v>9</v>
      </c>
      <c r="D865">
        <v>1</v>
      </c>
      <c r="E865">
        <v>2024</v>
      </c>
      <c r="F865">
        <v>8</v>
      </c>
      <c r="G865" t="s">
        <v>9</v>
      </c>
      <c r="H865">
        <v>9.6</v>
      </c>
      <c r="I865">
        <f t="shared" si="13"/>
        <v>9.6</v>
      </c>
    </row>
    <row r="866" spans="1:9" x14ac:dyDescent="0.3">
      <c r="A866">
        <v>1267</v>
      </c>
      <c r="B866">
        <v>9</v>
      </c>
      <c r="C866" t="s">
        <v>7</v>
      </c>
      <c r="D866">
        <v>3</v>
      </c>
      <c r="E866">
        <v>2024</v>
      </c>
      <c r="F866">
        <v>9</v>
      </c>
      <c r="G866" t="s">
        <v>7</v>
      </c>
      <c r="H866">
        <v>5.2</v>
      </c>
      <c r="I866">
        <f t="shared" si="13"/>
        <v>15.600000000000001</v>
      </c>
    </row>
    <row r="867" spans="1:9" x14ac:dyDescent="0.3">
      <c r="A867">
        <v>1268</v>
      </c>
      <c r="B867">
        <v>12</v>
      </c>
      <c r="C867" t="s">
        <v>7</v>
      </c>
      <c r="D867">
        <v>1</v>
      </c>
      <c r="E867">
        <v>2024</v>
      </c>
      <c r="F867">
        <v>12</v>
      </c>
      <c r="G867" t="s">
        <v>7</v>
      </c>
      <c r="H867">
        <v>5.3</v>
      </c>
      <c r="I867">
        <f t="shared" si="13"/>
        <v>5.3</v>
      </c>
    </row>
    <row r="868" spans="1:9" x14ac:dyDescent="0.3">
      <c r="A868">
        <v>1269</v>
      </c>
      <c r="B868">
        <v>1</v>
      </c>
      <c r="C868" t="s">
        <v>6</v>
      </c>
      <c r="D868">
        <v>1</v>
      </c>
      <c r="E868">
        <v>2024</v>
      </c>
      <c r="F868">
        <v>1</v>
      </c>
      <c r="G868" t="s">
        <v>6</v>
      </c>
      <c r="H868">
        <v>6.8</v>
      </c>
      <c r="I868">
        <f t="shared" si="13"/>
        <v>6.8</v>
      </c>
    </row>
    <row r="869" spans="1:9" x14ac:dyDescent="0.3">
      <c r="A869">
        <v>1270</v>
      </c>
      <c r="B869">
        <v>11</v>
      </c>
      <c r="C869" t="s">
        <v>6</v>
      </c>
      <c r="D869">
        <v>1</v>
      </c>
      <c r="E869">
        <v>2024</v>
      </c>
      <c r="F869">
        <v>11</v>
      </c>
      <c r="G869" t="s">
        <v>6</v>
      </c>
      <c r="H869">
        <v>7.5</v>
      </c>
      <c r="I869">
        <f t="shared" si="13"/>
        <v>7.5</v>
      </c>
    </row>
    <row r="870" spans="1:9" x14ac:dyDescent="0.3">
      <c r="A870">
        <v>1271</v>
      </c>
      <c r="B870">
        <v>9</v>
      </c>
      <c r="C870" t="s">
        <v>6</v>
      </c>
      <c r="D870">
        <v>2</v>
      </c>
      <c r="E870">
        <v>2024</v>
      </c>
      <c r="F870">
        <v>9</v>
      </c>
      <c r="G870" t="s">
        <v>6</v>
      </c>
      <c r="H870">
        <v>7.7</v>
      </c>
      <c r="I870">
        <f t="shared" si="13"/>
        <v>15.4</v>
      </c>
    </row>
    <row r="871" spans="1:9" x14ac:dyDescent="0.3">
      <c r="A871">
        <v>1272</v>
      </c>
      <c r="B871">
        <v>7</v>
      </c>
      <c r="C871" t="s">
        <v>7</v>
      </c>
      <c r="D871">
        <v>1</v>
      </c>
      <c r="E871">
        <v>2024</v>
      </c>
      <c r="F871">
        <v>7</v>
      </c>
      <c r="G871" t="s">
        <v>7</v>
      </c>
      <c r="H871">
        <v>5.3</v>
      </c>
      <c r="I871">
        <f t="shared" si="13"/>
        <v>5.3</v>
      </c>
    </row>
    <row r="872" spans="1:9" x14ac:dyDescent="0.3">
      <c r="A872">
        <v>1273</v>
      </c>
      <c r="B872">
        <v>7</v>
      </c>
      <c r="C872" t="s">
        <v>6</v>
      </c>
      <c r="D872">
        <v>3</v>
      </c>
      <c r="E872">
        <v>2024</v>
      </c>
      <c r="F872">
        <v>7</v>
      </c>
      <c r="G872" t="s">
        <v>6</v>
      </c>
      <c r="H872">
        <v>7.5</v>
      </c>
      <c r="I872">
        <f t="shared" si="13"/>
        <v>22.5</v>
      </c>
    </row>
    <row r="873" spans="1:9" x14ac:dyDescent="0.3">
      <c r="A873">
        <v>1274</v>
      </c>
      <c r="B873">
        <v>5</v>
      </c>
      <c r="C873" t="s">
        <v>7</v>
      </c>
      <c r="D873">
        <v>2</v>
      </c>
      <c r="E873">
        <v>2024</v>
      </c>
      <c r="F873">
        <v>5</v>
      </c>
      <c r="G873" t="s">
        <v>7</v>
      </c>
      <c r="H873">
        <v>5.3</v>
      </c>
      <c r="I873">
        <f t="shared" si="13"/>
        <v>10.6</v>
      </c>
    </row>
    <row r="874" spans="1:9" x14ac:dyDescent="0.3">
      <c r="A874">
        <v>1275</v>
      </c>
      <c r="B874">
        <v>9</v>
      </c>
      <c r="C874" t="s">
        <v>6</v>
      </c>
      <c r="D874">
        <v>1</v>
      </c>
      <c r="E874">
        <v>2024</v>
      </c>
      <c r="F874">
        <v>9</v>
      </c>
      <c r="G874" t="s">
        <v>6</v>
      </c>
      <c r="H874">
        <v>7.7</v>
      </c>
      <c r="I874">
        <f t="shared" si="13"/>
        <v>7.7</v>
      </c>
    </row>
    <row r="875" spans="1:9" x14ac:dyDescent="0.3">
      <c r="A875">
        <v>1276</v>
      </c>
      <c r="B875">
        <v>7</v>
      </c>
      <c r="C875" t="s">
        <v>7</v>
      </c>
      <c r="D875">
        <v>2</v>
      </c>
      <c r="E875">
        <v>2024</v>
      </c>
      <c r="F875">
        <v>7</v>
      </c>
      <c r="G875" t="s">
        <v>7</v>
      </c>
      <c r="H875">
        <v>5.3</v>
      </c>
      <c r="I875">
        <f t="shared" si="13"/>
        <v>10.6</v>
      </c>
    </row>
    <row r="876" spans="1:9" x14ac:dyDescent="0.3">
      <c r="A876">
        <v>1277</v>
      </c>
      <c r="B876">
        <v>6</v>
      </c>
      <c r="C876" t="s">
        <v>7</v>
      </c>
      <c r="D876">
        <v>2</v>
      </c>
      <c r="E876">
        <v>2024</v>
      </c>
      <c r="F876">
        <v>6</v>
      </c>
      <c r="G876" t="s">
        <v>7</v>
      </c>
      <c r="H876">
        <v>5.3</v>
      </c>
      <c r="I876">
        <f t="shared" si="13"/>
        <v>10.6</v>
      </c>
    </row>
    <row r="877" spans="1:9" x14ac:dyDescent="0.3">
      <c r="A877">
        <v>1278</v>
      </c>
      <c r="B877">
        <v>7</v>
      </c>
      <c r="C877" t="s">
        <v>7</v>
      </c>
      <c r="D877">
        <v>1</v>
      </c>
      <c r="E877">
        <v>2024</v>
      </c>
      <c r="F877">
        <v>7</v>
      </c>
      <c r="G877" t="s">
        <v>7</v>
      </c>
      <c r="H877">
        <v>5.3</v>
      </c>
      <c r="I877">
        <f t="shared" si="13"/>
        <v>5.3</v>
      </c>
    </row>
    <row r="878" spans="1:9" x14ac:dyDescent="0.3">
      <c r="A878">
        <v>1279</v>
      </c>
      <c r="B878">
        <v>10</v>
      </c>
      <c r="C878" t="s">
        <v>6</v>
      </c>
      <c r="D878">
        <v>2</v>
      </c>
      <c r="E878">
        <v>2024</v>
      </c>
      <c r="F878">
        <v>10</v>
      </c>
      <c r="G878" t="s">
        <v>6</v>
      </c>
      <c r="H878">
        <v>7.5</v>
      </c>
      <c r="I878">
        <f t="shared" si="13"/>
        <v>15</v>
      </c>
    </row>
    <row r="879" spans="1:9" x14ac:dyDescent="0.3">
      <c r="A879">
        <v>1279</v>
      </c>
      <c r="B879">
        <v>14</v>
      </c>
      <c r="C879" t="s">
        <v>7</v>
      </c>
      <c r="D879">
        <v>1</v>
      </c>
      <c r="E879">
        <v>2024</v>
      </c>
      <c r="F879">
        <v>14</v>
      </c>
      <c r="G879" t="s">
        <v>7</v>
      </c>
      <c r="H879">
        <v>4.0999999999999996</v>
      </c>
      <c r="I879">
        <f t="shared" si="13"/>
        <v>4.0999999999999996</v>
      </c>
    </row>
    <row r="880" spans="1:9" x14ac:dyDescent="0.3">
      <c r="A880">
        <v>1280</v>
      </c>
      <c r="B880">
        <v>4</v>
      </c>
      <c r="C880" t="s">
        <v>7</v>
      </c>
      <c r="D880">
        <v>1</v>
      </c>
      <c r="E880">
        <v>2024</v>
      </c>
      <c r="F880">
        <v>4</v>
      </c>
      <c r="G880" t="s">
        <v>7</v>
      </c>
      <c r="H880">
        <v>4.8</v>
      </c>
      <c r="I880">
        <f t="shared" si="13"/>
        <v>4.8</v>
      </c>
    </row>
    <row r="881" spans="1:9" x14ac:dyDescent="0.3">
      <c r="A881">
        <v>1281</v>
      </c>
      <c r="B881">
        <v>9</v>
      </c>
      <c r="C881" t="s">
        <v>8</v>
      </c>
      <c r="D881">
        <v>1</v>
      </c>
      <c r="E881">
        <v>2024</v>
      </c>
      <c r="F881">
        <v>9</v>
      </c>
      <c r="G881" t="s">
        <v>8</v>
      </c>
      <c r="H881">
        <v>4.0999999999999996</v>
      </c>
      <c r="I881">
        <f t="shared" si="13"/>
        <v>4.0999999999999996</v>
      </c>
    </row>
    <row r="882" spans="1:9" x14ac:dyDescent="0.3">
      <c r="A882">
        <v>1281</v>
      </c>
      <c r="B882">
        <v>12</v>
      </c>
      <c r="C882" t="s">
        <v>7</v>
      </c>
      <c r="D882">
        <v>1</v>
      </c>
      <c r="E882">
        <v>2024</v>
      </c>
      <c r="F882">
        <v>12</v>
      </c>
      <c r="G882" t="s">
        <v>7</v>
      </c>
      <c r="H882">
        <v>5.3</v>
      </c>
      <c r="I882">
        <f t="shared" si="13"/>
        <v>5.3</v>
      </c>
    </row>
    <row r="883" spans="1:9" x14ac:dyDescent="0.3">
      <c r="A883">
        <v>1282</v>
      </c>
      <c r="B883">
        <v>7</v>
      </c>
      <c r="C883" t="s">
        <v>7</v>
      </c>
      <c r="D883">
        <v>1</v>
      </c>
      <c r="E883">
        <v>2024</v>
      </c>
      <c r="F883">
        <v>7</v>
      </c>
      <c r="G883" t="s">
        <v>7</v>
      </c>
      <c r="H883">
        <v>5.3</v>
      </c>
      <c r="I883">
        <f t="shared" si="13"/>
        <v>5.3</v>
      </c>
    </row>
    <row r="884" spans="1:9" x14ac:dyDescent="0.3">
      <c r="A884">
        <v>1283</v>
      </c>
      <c r="B884">
        <v>5</v>
      </c>
      <c r="C884" t="s">
        <v>7</v>
      </c>
      <c r="D884">
        <v>1</v>
      </c>
      <c r="E884">
        <v>2024</v>
      </c>
      <c r="F884">
        <v>5</v>
      </c>
      <c r="G884" t="s">
        <v>7</v>
      </c>
      <c r="H884">
        <v>5.3</v>
      </c>
      <c r="I884">
        <f t="shared" si="13"/>
        <v>5.3</v>
      </c>
    </row>
    <row r="885" spans="1:9" x14ac:dyDescent="0.3">
      <c r="A885">
        <v>1284</v>
      </c>
      <c r="B885">
        <v>2</v>
      </c>
      <c r="C885" t="s">
        <v>6</v>
      </c>
      <c r="D885">
        <v>1</v>
      </c>
      <c r="E885">
        <v>2024</v>
      </c>
      <c r="F885">
        <v>2</v>
      </c>
      <c r="G885" t="s">
        <v>6</v>
      </c>
      <c r="H885">
        <v>6.8</v>
      </c>
      <c r="I885">
        <f t="shared" si="13"/>
        <v>6.8</v>
      </c>
    </row>
    <row r="886" spans="1:9" x14ac:dyDescent="0.3">
      <c r="A886">
        <v>1285</v>
      </c>
      <c r="B886">
        <v>14</v>
      </c>
      <c r="C886" t="s">
        <v>7</v>
      </c>
      <c r="D886">
        <v>1</v>
      </c>
      <c r="E886">
        <v>2024</v>
      </c>
      <c r="F886">
        <v>14</v>
      </c>
      <c r="G886" t="s">
        <v>7</v>
      </c>
      <c r="H886">
        <v>4.0999999999999996</v>
      </c>
      <c r="I886">
        <f t="shared" si="13"/>
        <v>4.0999999999999996</v>
      </c>
    </row>
    <row r="887" spans="1:9" x14ac:dyDescent="0.3">
      <c r="A887">
        <v>1286</v>
      </c>
      <c r="B887">
        <v>11</v>
      </c>
      <c r="C887" t="s">
        <v>6</v>
      </c>
      <c r="D887">
        <v>2</v>
      </c>
      <c r="E887">
        <v>2024</v>
      </c>
      <c r="F887">
        <v>11</v>
      </c>
      <c r="G887" t="s">
        <v>6</v>
      </c>
      <c r="H887">
        <v>7.5</v>
      </c>
      <c r="I887">
        <f t="shared" si="13"/>
        <v>15</v>
      </c>
    </row>
    <row r="888" spans="1:9" x14ac:dyDescent="0.3">
      <c r="A888">
        <v>1287</v>
      </c>
      <c r="B888">
        <v>5</v>
      </c>
      <c r="C888" t="s">
        <v>8</v>
      </c>
      <c r="D888">
        <v>1</v>
      </c>
      <c r="E888">
        <v>2024</v>
      </c>
      <c r="F888">
        <v>5</v>
      </c>
      <c r="G888" t="s">
        <v>8</v>
      </c>
      <c r="H888">
        <v>4.2</v>
      </c>
      <c r="I888">
        <f t="shared" si="13"/>
        <v>4.2</v>
      </c>
    </row>
    <row r="889" spans="1:9" x14ac:dyDescent="0.3">
      <c r="A889">
        <v>1288</v>
      </c>
      <c r="B889">
        <v>5</v>
      </c>
      <c r="C889" t="s">
        <v>7</v>
      </c>
      <c r="D889">
        <v>1</v>
      </c>
      <c r="E889">
        <v>2024</v>
      </c>
      <c r="F889">
        <v>5</v>
      </c>
      <c r="G889" t="s">
        <v>7</v>
      </c>
      <c r="H889">
        <v>5.3</v>
      </c>
      <c r="I889">
        <f t="shared" si="13"/>
        <v>5.3</v>
      </c>
    </row>
    <row r="890" spans="1:9" x14ac:dyDescent="0.3">
      <c r="A890">
        <v>1289</v>
      </c>
      <c r="B890">
        <v>2</v>
      </c>
      <c r="C890" t="s">
        <v>7</v>
      </c>
      <c r="D890">
        <v>1</v>
      </c>
      <c r="E890">
        <v>2024</v>
      </c>
      <c r="F890">
        <v>2</v>
      </c>
      <c r="G890" t="s">
        <v>7</v>
      </c>
      <c r="H890">
        <v>5.2</v>
      </c>
      <c r="I890">
        <f t="shared" si="13"/>
        <v>5.2</v>
      </c>
    </row>
    <row r="891" spans="1:9" x14ac:dyDescent="0.3">
      <c r="A891">
        <v>1290</v>
      </c>
      <c r="B891">
        <v>4</v>
      </c>
      <c r="C891" t="s">
        <v>6</v>
      </c>
      <c r="D891">
        <v>1</v>
      </c>
      <c r="E891">
        <v>2024</v>
      </c>
      <c r="F891">
        <v>4</v>
      </c>
      <c r="G891" t="s">
        <v>6</v>
      </c>
      <c r="H891">
        <v>6.8</v>
      </c>
      <c r="I891">
        <f t="shared" si="13"/>
        <v>6.8</v>
      </c>
    </row>
    <row r="892" spans="1:9" x14ac:dyDescent="0.3">
      <c r="A892">
        <v>1291</v>
      </c>
      <c r="B892">
        <v>2</v>
      </c>
      <c r="C892" t="s">
        <v>8</v>
      </c>
      <c r="D892">
        <v>1</v>
      </c>
      <c r="E892">
        <v>2024</v>
      </c>
      <c r="F892">
        <v>2</v>
      </c>
      <c r="G892" t="s">
        <v>8</v>
      </c>
      <c r="H892">
        <v>4</v>
      </c>
      <c r="I892">
        <f t="shared" si="13"/>
        <v>4</v>
      </c>
    </row>
    <row r="893" spans="1:9" x14ac:dyDescent="0.3">
      <c r="A893">
        <v>1292</v>
      </c>
      <c r="B893">
        <v>4</v>
      </c>
      <c r="C893" t="s">
        <v>7</v>
      </c>
      <c r="D893">
        <v>1</v>
      </c>
      <c r="E893">
        <v>2024</v>
      </c>
      <c r="F893">
        <v>4</v>
      </c>
      <c r="G893" t="s">
        <v>7</v>
      </c>
      <c r="H893">
        <v>4.8</v>
      </c>
      <c r="I893">
        <f t="shared" si="13"/>
        <v>4.8</v>
      </c>
    </row>
    <row r="894" spans="1:9" x14ac:dyDescent="0.3">
      <c r="A894">
        <v>1293</v>
      </c>
      <c r="B894">
        <v>12</v>
      </c>
      <c r="C894" t="s">
        <v>6</v>
      </c>
      <c r="D894">
        <v>1</v>
      </c>
      <c r="E894">
        <v>2024</v>
      </c>
      <c r="F894">
        <v>12</v>
      </c>
      <c r="G894" t="s">
        <v>6</v>
      </c>
      <c r="H894">
        <v>7.5</v>
      </c>
      <c r="I894">
        <f t="shared" si="13"/>
        <v>7.5</v>
      </c>
    </row>
    <row r="895" spans="1:9" x14ac:dyDescent="0.3">
      <c r="A895">
        <v>1294</v>
      </c>
      <c r="B895">
        <v>11</v>
      </c>
      <c r="C895" t="s">
        <v>7</v>
      </c>
      <c r="D895">
        <v>1</v>
      </c>
      <c r="E895">
        <v>2024</v>
      </c>
      <c r="F895">
        <v>11</v>
      </c>
      <c r="G895" t="s">
        <v>7</v>
      </c>
      <c r="H895">
        <v>5.3</v>
      </c>
      <c r="I895">
        <f t="shared" si="13"/>
        <v>5.3</v>
      </c>
    </row>
    <row r="896" spans="1:9" x14ac:dyDescent="0.3">
      <c r="A896">
        <v>1295</v>
      </c>
      <c r="B896">
        <v>4</v>
      </c>
      <c r="C896" t="s">
        <v>7</v>
      </c>
      <c r="D896">
        <v>2</v>
      </c>
      <c r="E896">
        <v>2024</v>
      </c>
      <c r="F896">
        <v>4</v>
      </c>
      <c r="G896" t="s">
        <v>7</v>
      </c>
      <c r="H896">
        <v>4.8</v>
      </c>
      <c r="I896">
        <f t="shared" si="13"/>
        <v>9.6</v>
      </c>
    </row>
    <row r="897" spans="1:9" x14ac:dyDescent="0.3">
      <c r="A897">
        <v>1296</v>
      </c>
      <c r="B897">
        <v>6</v>
      </c>
      <c r="C897" t="s">
        <v>7</v>
      </c>
      <c r="D897">
        <v>1</v>
      </c>
      <c r="E897">
        <v>2024</v>
      </c>
      <c r="F897">
        <v>6</v>
      </c>
      <c r="G897" t="s">
        <v>7</v>
      </c>
      <c r="H897">
        <v>5.3</v>
      </c>
      <c r="I897">
        <f t="shared" si="13"/>
        <v>5.3</v>
      </c>
    </row>
    <row r="898" spans="1:9" x14ac:dyDescent="0.3">
      <c r="A898">
        <v>1296</v>
      </c>
      <c r="B898">
        <v>7</v>
      </c>
      <c r="C898" t="s">
        <v>7</v>
      </c>
      <c r="D898">
        <v>1</v>
      </c>
      <c r="E898">
        <v>2024</v>
      </c>
      <c r="F898">
        <v>7</v>
      </c>
      <c r="G898" t="s">
        <v>7</v>
      </c>
      <c r="H898">
        <v>5.3</v>
      </c>
      <c r="I898">
        <f t="shared" si="13"/>
        <v>5.3</v>
      </c>
    </row>
    <row r="899" spans="1:9" x14ac:dyDescent="0.3">
      <c r="A899">
        <v>1297</v>
      </c>
      <c r="B899">
        <v>7</v>
      </c>
      <c r="C899" t="s">
        <v>6</v>
      </c>
      <c r="D899">
        <v>1</v>
      </c>
      <c r="E899">
        <v>2024</v>
      </c>
      <c r="F899">
        <v>7</v>
      </c>
      <c r="G899" t="s">
        <v>6</v>
      </c>
      <c r="H899">
        <v>7.5</v>
      </c>
      <c r="I899">
        <f t="shared" ref="I899:I962" si="14">D899*H899</f>
        <v>7.5</v>
      </c>
    </row>
    <row r="900" spans="1:9" x14ac:dyDescent="0.3">
      <c r="A900">
        <v>1298</v>
      </c>
      <c r="B900">
        <v>6</v>
      </c>
      <c r="C900" t="s">
        <v>7</v>
      </c>
      <c r="D900">
        <v>1</v>
      </c>
      <c r="E900">
        <v>2024</v>
      </c>
      <c r="F900">
        <v>6</v>
      </c>
      <c r="G900" t="s">
        <v>7</v>
      </c>
      <c r="H900">
        <v>5.3</v>
      </c>
      <c r="I900">
        <f t="shared" si="14"/>
        <v>5.3</v>
      </c>
    </row>
    <row r="901" spans="1:9" x14ac:dyDescent="0.3">
      <c r="A901">
        <v>1299</v>
      </c>
      <c r="B901">
        <v>9</v>
      </c>
      <c r="C901" t="s">
        <v>6</v>
      </c>
      <c r="D901">
        <v>1</v>
      </c>
      <c r="E901">
        <v>2024</v>
      </c>
      <c r="F901">
        <v>9</v>
      </c>
      <c r="G901" t="s">
        <v>6</v>
      </c>
      <c r="H901">
        <v>7.7</v>
      </c>
      <c r="I901">
        <f t="shared" si="14"/>
        <v>7.7</v>
      </c>
    </row>
    <row r="902" spans="1:9" x14ac:dyDescent="0.3">
      <c r="A902">
        <v>1300</v>
      </c>
      <c r="B902">
        <v>5</v>
      </c>
      <c r="C902" t="s">
        <v>6</v>
      </c>
      <c r="D902">
        <v>1</v>
      </c>
      <c r="E902">
        <v>2024</v>
      </c>
      <c r="F902">
        <v>5</v>
      </c>
      <c r="G902" t="s">
        <v>6</v>
      </c>
      <c r="H902">
        <v>7.5</v>
      </c>
      <c r="I902">
        <f t="shared" si="14"/>
        <v>7.5</v>
      </c>
    </row>
    <row r="903" spans="1:9" x14ac:dyDescent="0.3">
      <c r="A903">
        <v>1301</v>
      </c>
      <c r="B903">
        <v>8</v>
      </c>
      <c r="C903" t="s">
        <v>6</v>
      </c>
      <c r="D903">
        <v>1</v>
      </c>
      <c r="E903">
        <v>2024</v>
      </c>
      <c r="F903">
        <v>8</v>
      </c>
      <c r="G903" t="s">
        <v>6</v>
      </c>
      <c r="H903">
        <v>7.7</v>
      </c>
      <c r="I903">
        <f t="shared" si="14"/>
        <v>7.7</v>
      </c>
    </row>
    <row r="904" spans="1:9" x14ac:dyDescent="0.3">
      <c r="A904">
        <v>1302</v>
      </c>
      <c r="B904">
        <v>3</v>
      </c>
      <c r="C904" t="s">
        <v>7</v>
      </c>
      <c r="D904">
        <v>1</v>
      </c>
      <c r="E904">
        <v>2024</v>
      </c>
      <c r="F904">
        <v>3</v>
      </c>
      <c r="G904" t="s">
        <v>7</v>
      </c>
      <c r="H904">
        <v>5.2</v>
      </c>
      <c r="I904">
        <f t="shared" si="14"/>
        <v>5.2</v>
      </c>
    </row>
    <row r="905" spans="1:9" x14ac:dyDescent="0.3">
      <c r="A905">
        <v>1302</v>
      </c>
      <c r="B905">
        <v>6</v>
      </c>
      <c r="C905" t="s">
        <v>8</v>
      </c>
      <c r="D905">
        <v>2</v>
      </c>
      <c r="E905">
        <v>2024</v>
      </c>
      <c r="F905">
        <v>6</v>
      </c>
      <c r="G905" t="s">
        <v>8</v>
      </c>
      <c r="H905">
        <v>4.2</v>
      </c>
      <c r="I905">
        <f t="shared" si="14"/>
        <v>8.4</v>
      </c>
    </row>
    <row r="906" spans="1:9" x14ac:dyDescent="0.3">
      <c r="A906">
        <v>1303</v>
      </c>
      <c r="B906">
        <v>8</v>
      </c>
      <c r="C906" t="s">
        <v>6</v>
      </c>
      <c r="D906">
        <v>1</v>
      </c>
      <c r="E906">
        <v>2024</v>
      </c>
      <c r="F906">
        <v>8</v>
      </c>
      <c r="G906" t="s">
        <v>6</v>
      </c>
      <c r="H906">
        <v>7.7</v>
      </c>
      <c r="I906">
        <f t="shared" si="14"/>
        <v>7.7</v>
      </c>
    </row>
    <row r="907" spans="1:9" x14ac:dyDescent="0.3">
      <c r="A907">
        <v>1304</v>
      </c>
      <c r="B907">
        <v>9</v>
      </c>
      <c r="C907" t="s">
        <v>6</v>
      </c>
      <c r="D907">
        <v>1</v>
      </c>
      <c r="E907">
        <v>2024</v>
      </c>
      <c r="F907">
        <v>9</v>
      </c>
      <c r="G907" t="s">
        <v>6</v>
      </c>
      <c r="H907">
        <v>7.7</v>
      </c>
      <c r="I907">
        <f t="shared" si="14"/>
        <v>7.7</v>
      </c>
    </row>
    <row r="908" spans="1:9" x14ac:dyDescent="0.3">
      <c r="A908">
        <v>1305</v>
      </c>
      <c r="B908">
        <v>14</v>
      </c>
      <c r="C908" t="s">
        <v>7</v>
      </c>
      <c r="D908">
        <v>1</v>
      </c>
      <c r="E908">
        <v>2024</v>
      </c>
      <c r="F908">
        <v>14</v>
      </c>
      <c r="G908" t="s">
        <v>7</v>
      </c>
      <c r="H908">
        <v>4.0999999999999996</v>
      </c>
      <c r="I908">
        <f t="shared" si="14"/>
        <v>4.0999999999999996</v>
      </c>
    </row>
    <row r="909" spans="1:9" x14ac:dyDescent="0.3">
      <c r="A909">
        <v>1306</v>
      </c>
      <c r="B909">
        <v>10</v>
      </c>
      <c r="C909" t="s">
        <v>6</v>
      </c>
      <c r="D909">
        <v>1</v>
      </c>
      <c r="E909">
        <v>2024</v>
      </c>
      <c r="F909">
        <v>10</v>
      </c>
      <c r="G909" t="s">
        <v>6</v>
      </c>
      <c r="H909">
        <v>7.5</v>
      </c>
      <c r="I909">
        <f t="shared" si="14"/>
        <v>7.5</v>
      </c>
    </row>
    <row r="910" spans="1:9" x14ac:dyDescent="0.3">
      <c r="A910">
        <v>1307</v>
      </c>
      <c r="B910">
        <v>12</v>
      </c>
      <c r="C910" t="s">
        <v>7</v>
      </c>
      <c r="D910">
        <v>1</v>
      </c>
      <c r="E910">
        <v>2024</v>
      </c>
      <c r="F910">
        <v>12</v>
      </c>
      <c r="G910" t="s">
        <v>7</v>
      </c>
      <c r="H910">
        <v>5.3</v>
      </c>
      <c r="I910">
        <f t="shared" si="14"/>
        <v>5.3</v>
      </c>
    </row>
    <row r="911" spans="1:9" x14ac:dyDescent="0.3">
      <c r="A911">
        <v>1308</v>
      </c>
      <c r="B911">
        <v>2</v>
      </c>
      <c r="C911" t="s">
        <v>8</v>
      </c>
      <c r="D911">
        <v>5</v>
      </c>
      <c r="E911">
        <v>2024</v>
      </c>
      <c r="F911">
        <v>2</v>
      </c>
      <c r="G911" t="s">
        <v>8</v>
      </c>
      <c r="H911">
        <v>4</v>
      </c>
      <c r="I911">
        <f t="shared" si="14"/>
        <v>20</v>
      </c>
    </row>
    <row r="912" spans="1:9" x14ac:dyDescent="0.3">
      <c r="A912">
        <v>1309</v>
      </c>
      <c r="B912">
        <v>4</v>
      </c>
      <c r="C912" t="s">
        <v>7</v>
      </c>
      <c r="D912">
        <v>2</v>
      </c>
      <c r="E912">
        <v>2024</v>
      </c>
      <c r="F912">
        <v>4</v>
      </c>
      <c r="G912" t="s">
        <v>7</v>
      </c>
      <c r="H912">
        <v>4.8</v>
      </c>
      <c r="I912">
        <f t="shared" si="14"/>
        <v>9.6</v>
      </c>
    </row>
    <row r="913" spans="1:9" x14ac:dyDescent="0.3">
      <c r="A913">
        <v>1310</v>
      </c>
      <c r="B913">
        <v>10</v>
      </c>
      <c r="C913" t="s">
        <v>6</v>
      </c>
      <c r="D913">
        <v>1</v>
      </c>
      <c r="E913">
        <v>2024</v>
      </c>
      <c r="F913">
        <v>10</v>
      </c>
      <c r="G913" t="s">
        <v>6</v>
      </c>
      <c r="H913">
        <v>7.5</v>
      </c>
      <c r="I913">
        <f t="shared" si="14"/>
        <v>7.5</v>
      </c>
    </row>
    <row r="914" spans="1:9" x14ac:dyDescent="0.3">
      <c r="A914">
        <v>1311</v>
      </c>
      <c r="B914">
        <v>7</v>
      </c>
      <c r="C914" t="s">
        <v>6</v>
      </c>
      <c r="D914">
        <v>1</v>
      </c>
      <c r="E914">
        <v>2024</v>
      </c>
      <c r="F914">
        <v>7</v>
      </c>
      <c r="G914" t="s">
        <v>6</v>
      </c>
      <c r="H914">
        <v>7.5</v>
      </c>
      <c r="I914">
        <f t="shared" si="14"/>
        <v>7.5</v>
      </c>
    </row>
    <row r="915" spans="1:9" x14ac:dyDescent="0.3">
      <c r="A915">
        <v>1312</v>
      </c>
      <c r="B915">
        <v>3</v>
      </c>
      <c r="C915" t="s">
        <v>7</v>
      </c>
      <c r="D915">
        <v>1</v>
      </c>
      <c r="E915">
        <v>2024</v>
      </c>
      <c r="F915">
        <v>3</v>
      </c>
      <c r="G915" t="s">
        <v>7</v>
      </c>
      <c r="H915">
        <v>5.2</v>
      </c>
      <c r="I915">
        <f t="shared" si="14"/>
        <v>5.2</v>
      </c>
    </row>
    <row r="916" spans="1:9" x14ac:dyDescent="0.3">
      <c r="A916">
        <v>1313</v>
      </c>
      <c r="B916">
        <v>3</v>
      </c>
      <c r="C916" t="s">
        <v>7</v>
      </c>
      <c r="D916">
        <v>2</v>
      </c>
      <c r="E916">
        <v>2024</v>
      </c>
      <c r="F916">
        <v>3</v>
      </c>
      <c r="G916" t="s">
        <v>7</v>
      </c>
      <c r="H916">
        <v>5.2</v>
      </c>
      <c r="I916">
        <f t="shared" si="14"/>
        <v>10.4</v>
      </c>
    </row>
    <row r="917" spans="1:9" x14ac:dyDescent="0.3">
      <c r="A917">
        <v>1314</v>
      </c>
      <c r="B917">
        <v>10</v>
      </c>
      <c r="C917" t="s">
        <v>6</v>
      </c>
      <c r="D917">
        <v>1</v>
      </c>
      <c r="E917">
        <v>2024</v>
      </c>
      <c r="F917">
        <v>10</v>
      </c>
      <c r="G917" t="s">
        <v>6</v>
      </c>
      <c r="H917">
        <v>7.5</v>
      </c>
      <c r="I917">
        <f t="shared" si="14"/>
        <v>7.5</v>
      </c>
    </row>
    <row r="918" spans="1:9" x14ac:dyDescent="0.3">
      <c r="A918">
        <v>1315</v>
      </c>
      <c r="B918">
        <v>5</v>
      </c>
      <c r="C918" t="s">
        <v>7</v>
      </c>
      <c r="D918">
        <v>1</v>
      </c>
      <c r="E918">
        <v>2024</v>
      </c>
      <c r="F918">
        <v>5</v>
      </c>
      <c r="G918" t="s">
        <v>7</v>
      </c>
      <c r="H918">
        <v>5.3</v>
      </c>
      <c r="I918">
        <f t="shared" si="14"/>
        <v>5.3</v>
      </c>
    </row>
    <row r="919" spans="1:9" x14ac:dyDescent="0.3">
      <c r="A919">
        <v>1316</v>
      </c>
      <c r="B919">
        <v>12</v>
      </c>
      <c r="C919" t="s">
        <v>6</v>
      </c>
      <c r="D919">
        <v>1</v>
      </c>
      <c r="E919">
        <v>2024</v>
      </c>
      <c r="F919">
        <v>12</v>
      </c>
      <c r="G919" t="s">
        <v>6</v>
      </c>
      <c r="H919">
        <v>7.5</v>
      </c>
      <c r="I919">
        <f t="shared" si="14"/>
        <v>7.5</v>
      </c>
    </row>
    <row r="920" spans="1:9" x14ac:dyDescent="0.3">
      <c r="A920">
        <v>1317</v>
      </c>
      <c r="B920">
        <v>9</v>
      </c>
      <c r="C920" t="s">
        <v>6</v>
      </c>
      <c r="D920">
        <v>1</v>
      </c>
      <c r="E920">
        <v>2024</v>
      </c>
      <c r="F920">
        <v>9</v>
      </c>
      <c r="G920" t="s">
        <v>6</v>
      </c>
      <c r="H920">
        <v>7.7</v>
      </c>
      <c r="I920">
        <f t="shared" si="14"/>
        <v>7.7</v>
      </c>
    </row>
    <row r="921" spans="1:9" x14ac:dyDescent="0.3">
      <c r="A921">
        <v>1318</v>
      </c>
      <c r="B921">
        <v>3</v>
      </c>
      <c r="C921" t="s">
        <v>7</v>
      </c>
      <c r="D921">
        <v>1</v>
      </c>
      <c r="E921">
        <v>2024</v>
      </c>
      <c r="F921">
        <v>3</v>
      </c>
      <c r="G921" t="s">
        <v>7</v>
      </c>
      <c r="H921">
        <v>5.2</v>
      </c>
      <c r="I921">
        <f t="shared" si="14"/>
        <v>5.2</v>
      </c>
    </row>
    <row r="922" spans="1:9" x14ac:dyDescent="0.3">
      <c r="A922">
        <v>1319</v>
      </c>
      <c r="B922">
        <v>4</v>
      </c>
      <c r="C922" t="s">
        <v>7</v>
      </c>
      <c r="D922">
        <v>1</v>
      </c>
      <c r="E922">
        <v>2024</v>
      </c>
      <c r="F922">
        <v>4</v>
      </c>
      <c r="G922" t="s">
        <v>7</v>
      </c>
      <c r="H922">
        <v>4.8</v>
      </c>
      <c r="I922">
        <f t="shared" si="14"/>
        <v>4.8</v>
      </c>
    </row>
    <row r="923" spans="1:9" x14ac:dyDescent="0.3">
      <c r="A923">
        <v>1320</v>
      </c>
      <c r="B923">
        <v>7</v>
      </c>
      <c r="C923" t="s">
        <v>6</v>
      </c>
      <c r="D923">
        <v>1</v>
      </c>
      <c r="E923">
        <v>2024</v>
      </c>
      <c r="F923">
        <v>7</v>
      </c>
      <c r="G923" t="s">
        <v>6</v>
      </c>
      <c r="H923">
        <v>7.5</v>
      </c>
      <c r="I923">
        <f t="shared" si="14"/>
        <v>7.5</v>
      </c>
    </row>
    <row r="924" spans="1:9" x14ac:dyDescent="0.3">
      <c r="A924">
        <v>1321</v>
      </c>
      <c r="B924">
        <v>5</v>
      </c>
      <c r="C924" t="s">
        <v>9</v>
      </c>
      <c r="D924">
        <v>1</v>
      </c>
      <c r="E924">
        <v>2024</v>
      </c>
      <c r="F924">
        <v>5</v>
      </c>
      <c r="G924" t="s">
        <v>9</v>
      </c>
      <c r="H924">
        <v>8.9</v>
      </c>
      <c r="I924">
        <f t="shared" si="14"/>
        <v>8.9</v>
      </c>
    </row>
    <row r="925" spans="1:9" x14ac:dyDescent="0.3">
      <c r="A925">
        <v>1322</v>
      </c>
      <c r="B925">
        <v>6</v>
      </c>
      <c r="C925" t="s">
        <v>7</v>
      </c>
      <c r="D925">
        <v>1</v>
      </c>
      <c r="E925">
        <v>2024</v>
      </c>
      <c r="F925">
        <v>6</v>
      </c>
      <c r="G925" t="s">
        <v>7</v>
      </c>
      <c r="H925">
        <v>5.3</v>
      </c>
      <c r="I925">
        <f t="shared" si="14"/>
        <v>5.3</v>
      </c>
    </row>
    <row r="926" spans="1:9" x14ac:dyDescent="0.3">
      <c r="A926">
        <v>1323</v>
      </c>
      <c r="B926">
        <v>1</v>
      </c>
      <c r="C926" t="s">
        <v>6</v>
      </c>
      <c r="D926">
        <v>1</v>
      </c>
      <c r="E926">
        <v>2024</v>
      </c>
      <c r="F926">
        <v>1</v>
      </c>
      <c r="G926" t="s">
        <v>6</v>
      </c>
      <c r="H926">
        <v>6.8</v>
      </c>
      <c r="I926">
        <f t="shared" si="14"/>
        <v>6.8</v>
      </c>
    </row>
    <row r="927" spans="1:9" x14ac:dyDescent="0.3">
      <c r="A927">
        <v>1324</v>
      </c>
      <c r="B927">
        <v>2</v>
      </c>
      <c r="C927" t="s">
        <v>6</v>
      </c>
      <c r="D927">
        <v>3</v>
      </c>
      <c r="E927">
        <v>2024</v>
      </c>
      <c r="F927">
        <v>2</v>
      </c>
      <c r="G927" t="s">
        <v>6</v>
      </c>
      <c r="H927">
        <v>6.8</v>
      </c>
      <c r="I927">
        <f t="shared" si="14"/>
        <v>20.399999999999999</v>
      </c>
    </row>
    <row r="928" spans="1:9" x14ac:dyDescent="0.3">
      <c r="A928">
        <v>1325</v>
      </c>
      <c r="B928">
        <v>6</v>
      </c>
      <c r="C928" t="s">
        <v>6</v>
      </c>
      <c r="D928">
        <v>1</v>
      </c>
      <c r="E928">
        <v>2024</v>
      </c>
      <c r="F928">
        <v>6</v>
      </c>
      <c r="G928" t="s">
        <v>6</v>
      </c>
      <c r="H928">
        <v>7.5</v>
      </c>
      <c r="I928">
        <f t="shared" si="14"/>
        <v>7.5</v>
      </c>
    </row>
    <row r="929" spans="1:9" x14ac:dyDescent="0.3">
      <c r="A929">
        <v>1325</v>
      </c>
      <c r="B929">
        <v>7</v>
      </c>
      <c r="C929" t="s">
        <v>6</v>
      </c>
      <c r="D929">
        <v>3</v>
      </c>
      <c r="E929">
        <v>2024</v>
      </c>
      <c r="F929">
        <v>7</v>
      </c>
      <c r="G929" t="s">
        <v>6</v>
      </c>
      <c r="H929">
        <v>7.5</v>
      </c>
      <c r="I929">
        <f t="shared" si="14"/>
        <v>22.5</v>
      </c>
    </row>
    <row r="930" spans="1:9" x14ac:dyDescent="0.3">
      <c r="A930">
        <v>1326</v>
      </c>
      <c r="B930">
        <v>14</v>
      </c>
      <c r="C930" t="s">
        <v>6</v>
      </c>
      <c r="D930">
        <v>1</v>
      </c>
      <c r="E930">
        <v>2024</v>
      </c>
      <c r="F930">
        <v>14</v>
      </c>
      <c r="G930" t="s">
        <v>6</v>
      </c>
      <c r="H930">
        <v>7.6</v>
      </c>
      <c r="I930">
        <f t="shared" si="14"/>
        <v>7.6</v>
      </c>
    </row>
    <row r="931" spans="1:9" x14ac:dyDescent="0.3">
      <c r="A931">
        <v>1327</v>
      </c>
      <c r="B931">
        <v>9</v>
      </c>
      <c r="C931" t="s">
        <v>7</v>
      </c>
      <c r="D931">
        <v>1</v>
      </c>
      <c r="E931">
        <v>2024</v>
      </c>
      <c r="F931">
        <v>9</v>
      </c>
      <c r="G931" t="s">
        <v>7</v>
      </c>
      <c r="H931">
        <v>5.2</v>
      </c>
      <c r="I931">
        <f t="shared" si="14"/>
        <v>5.2</v>
      </c>
    </row>
    <row r="932" spans="1:9" x14ac:dyDescent="0.3">
      <c r="A932">
        <v>1328</v>
      </c>
      <c r="B932">
        <v>2</v>
      </c>
      <c r="C932" t="s">
        <v>8</v>
      </c>
      <c r="D932">
        <v>1</v>
      </c>
      <c r="E932">
        <v>2024</v>
      </c>
      <c r="F932">
        <v>2</v>
      </c>
      <c r="G932" t="s">
        <v>8</v>
      </c>
      <c r="H932">
        <v>4</v>
      </c>
      <c r="I932">
        <f t="shared" si="14"/>
        <v>4</v>
      </c>
    </row>
    <row r="933" spans="1:9" x14ac:dyDescent="0.3">
      <c r="A933">
        <v>1328</v>
      </c>
      <c r="B933">
        <v>4</v>
      </c>
      <c r="C933" t="s">
        <v>8</v>
      </c>
      <c r="D933">
        <v>1</v>
      </c>
      <c r="E933">
        <v>2024</v>
      </c>
      <c r="F933">
        <v>4</v>
      </c>
      <c r="G933" t="s">
        <v>8</v>
      </c>
      <c r="H933">
        <v>3.7</v>
      </c>
      <c r="I933">
        <f t="shared" si="14"/>
        <v>3.7</v>
      </c>
    </row>
    <row r="934" spans="1:9" x14ac:dyDescent="0.3">
      <c r="A934">
        <v>1328</v>
      </c>
      <c r="B934">
        <v>6</v>
      </c>
      <c r="C934" t="s">
        <v>7</v>
      </c>
      <c r="D934">
        <v>2</v>
      </c>
      <c r="E934">
        <v>2024</v>
      </c>
      <c r="F934">
        <v>6</v>
      </c>
      <c r="G934" t="s">
        <v>7</v>
      </c>
      <c r="H934">
        <v>5.3</v>
      </c>
      <c r="I934">
        <f t="shared" si="14"/>
        <v>10.6</v>
      </c>
    </row>
    <row r="935" spans="1:9" x14ac:dyDescent="0.3">
      <c r="A935">
        <v>1329</v>
      </c>
      <c r="B935">
        <v>5</v>
      </c>
      <c r="C935" t="s">
        <v>8</v>
      </c>
      <c r="D935">
        <v>1</v>
      </c>
      <c r="E935">
        <v>2024</v>
      </c>
      <c r="F935">
        <v>5</v>
      </c>
      <c r="G935" t="s">
        <v>8</v>
      </c>
      <c r="H935">
        <v>4.2</v>
      </c>
      <c r="I935">
        <f t="shared" si="14"/>
        <v>4.2</v>
      </c>
    </row>
    <row r="936" spans="1:9" x14ac:dyDescent="0.3">
      <c r="A936">
        <v>1330</v>
      </c>
      <c r="B936">
        <v>11</v>
      </c>
      <c r="C936" t="s">
        <v>7</v>
      </c>
      <c r="D936">
        <v>1</v>
      </c>
      <c r="E936">
        <v>2024</v>
      </c>
      <c r="F936">
        <v>11</v>
      </c>
      <c r="G936" t="s">
        <v>7</v>
      </c>
      <c r="H936">
        <v>5.3</v>
      </c>
      <c r="I936">
        <f t="shared" si="14"/>
        <v>5.3</v>
      </c>
    </row>
    <row r="937" spans="1:9" x14ac:dyDescent="0.3">
      <c r="A937">
        <v>1331</v>
      </c>
      <c r="B937">
        <v>5</v>
      </c>
      <c r="C937" t="s">
        <v>7</v>
      </c>
      <c r="D937">
        <v>1</v>
      </c>
      <c r="E937">
        <v>2024</v>
      </c>
      <c r="F937">
        <v>5</v>
      </c>
      <c r="G937" t="s">
        <v>7</v>
      </c>
      <c r="H937">
        <v>5.3</v>
      </c>
      <c r="I937">
        <f t="shared" si="14"/>
        <v>5.3</v>
      </c>
    </row>
    <row r="938" spans="1:9" x14ac:dyDescent="0.3">
      <c r="A938">
        <v>1332</v>
      </c>
      <c r="B938">
        <v>10</v>
      </c>
      <c r="C938" t="s">
        <v>6</v>
      </c>
      <c r="D938">
        <v>1</v>
      </c>
      <c r="E938">
        <v>2024</v>
      </c>
      <c r="F938">
        <v>10</v>
      </c>
      <c r="G938" t="s">
        <v>6</v>
      </c>
      <c r="H938">
        <v>7.5</v>
      </c>
      <c r="I938">
        <f t="shared" si="14"/>
        <v>7.5</v>
      </c>
    </row>
    <row r="939" spans="1:9" x14ac:dyDescent="0.3">
      <c r="A939">
        <v>1333</v>
      </c>
      <c r="B939">
        <v>6</v>
      </c>
      <c r="C939" t="s">
        <v>7</v>
      </c>
      <c r="D939">
        <v>2</v>
      </c>
      <c r="E939">
        <v>2024</v>
      </c>
      <c r="F939">
        <v>6</v>
      </c>
      <c r="G939" t="s">
        <v>7</v>
      </c>
      <c r="H939">
        <v>5.3</v>
      </c>
      <c r="I939">
        <f t="shared" si="14"/>
        <v>10.6</v>
      </c>
    </row>
    <row r="940" spans="1:9" x14ac:dyDescent="0.3">
      <c r="A940">
        <v>1334</v>
      </c>
      <c r="B940">
        <v>9</v>
      </c>
      <c r="C940" t="s">
        <v>6</v>
      </c>
      <c r="D940">
        <v>1</v>
      </c>
      <c r="E940">
        <v>2024</v>
      </c>
      <c r="F940">
        <v>9</v>
      </c>
      <c r="G940" t="s">
        <v>6</v>
      </c>
      <c r="H940">
        <v>7.7</v>
      </c>
      <c r="I940">
        <f t="shared" si="14"/>
        <v>7.7</v>
      </c>
    </row>
    <row r="941" spans="1:9" x14ac:dyDescent="0.3">
      <c r="A941">
        <v>1335</v>
      </c>
      <c r="B941">
        <v>9</v>
      </c>
      <c r="C941" t="s">
        <v>7</v>
      </c>
      <c r="D941">
        <v>1</v>
      </c>
      <c r="E941">
        <v>2024</v>
      </c>
      <c r="F941">
        <v>9</v>
      </c>
      <c r="G941" t="s">
        <v>7</v>
      </c>
      <c r="H941">
        <v>5.2</v>
      </c>
      <c r="I941">
        <f t="shared" si="14"/>
        <v>5.2</v>
      </c>
    </row>
    <row r="942" spans="1:9" x14ac:dyDescent="0.3">
      <c r="A942">
        <v>1335</v>
      </c>
      <c r="B942">
        <v>12</v>
      </c>
      <c r="C942" t="s">
        <v>7</v>
      </c>
      <c r="D942">
        <v>1</v>
      </c>
      <c r="E942">
        <v>2024</v>
      </c>
      <c r="F942">
        <v>12</v>
      </c>
      <c r="G942" t="s">
        <v>7</v>
      </c>
      <c r="H942">
        <v>5.3</v>
      </c>
      <c r="I942">
        <f t="shared" si="14"/>
        <v>5.3</v>
      </c>
    </row>
    <row r="943" spans="1:9" x14ac:dyDescent="0.3">
      <c r="A943">
        <v>1336</v>
      </c>
      <c r="B943">
        <v>1</v>
      </c>
      <c r="C943" t="s">
        <v>9</v>
      </c>
      <c r="D943">
        <v>2</v>
      </c>
      <c r="E943">
        <v>2024</v>
      </c>
      <c r="F943">
        <v>1</v>
      </c>
      <c r="G943" t="s">
        <v>9</v>
      </c>
      <c r="H943">
        <v>9.9</v>
      </c>
      <c r="I943">
        <f t="shared" si="14"/>
        <v>19.8</v>
      </c>
    </row>
    <row r="944" spans="1:9" x14ac:dyDescent="0.3">
      <c r="A944">
        <v>1337</v>
      </c>
      <c r="B944">
        <v>7</v>
      </c>
      <c r="C944" t="s">
        <v>6</v>
      </c>
      <c r="D944">
        <v>3</v>
      </c>
      <c r="E944">
        <v>2024</v>
      </c>
      <c r="F944">
        <v>7</v>
      </c>
      <c r="G944" t="s">
        <v>6</v>
      </c>
      <c r="H944">
        <v>7.5</v>
      </c>
      <c r="I944">
        <f t="shared" si="14"/>
        <v>22.5</v>
      </c>
    </row>
    <row r="945" spans="1:9" x14ac:dyDescent="0.3">
      <c r="A945">
        <v>1338</v>
      </c>
      <c r="B945">
        <v>9</v>
      </c>
      <c r="C945" t="s">
        <v>6</v>
      </c>
      <c r="D945">
        <v>1</v>
      </c>
      <c r="E945">
        <v>2024</v>
      </c>
      <c r="F945">
        <v>9</v>
      </c>
      <c r="G945" t="s">
        <v>6</v>
      </c>
      <c r="H945">
        <v>7.7</v>
      </c>
      <c r="I945">
        <f t="shared" si="14"/>
        <v>7.7</v>
      </c>
    </row>
    <row r="946" spans="1:9" x14ac:dyDescent="0.3">
      <c r="A946">
        <v>1339</v>
      </c>
      <c r="B946">
        <v>10</v>
      </c>
      <c r="C946" t="s">
        <v>6</v>
      </c>
      <c r="D946">
        <v>1</v>
      </c>
      <c r="E946">
        <v>2024</v>
      </c>
      <c r="F946">
        <v>10</v>
      </c>
      <c r="G946" t="s">
        <v>6</v>
      </c>
      <c r="H946">
        <v>7.5</v>
      </c>
      <c r="I946">
        <f t="shared" si="14"/>
        <v>7.5</v>
      </c>
    </row>
    <row r="947" spans="1:9" x14ac:dyDescent="0.3">
      <c r="A947">
        <v>1340</v>
      </c>
      <c r="B947">
        <v>12</v>
      </c>
      <c r="C947" t="s">
        <v>7</v>
      </c>
      <c r="D947">
        <v>1</v>
      </c>
      <c r="E947">
        <v>2024</v>
      </c>
      <c r="F947">
        <v>12</v>
      </c>
      <c r="G947" t="s">
        <v>7</v>
      </c>
      <c r="H947">
        <v>5.3</v>
      </c>
      <c r="I947">
        <f t="shared" si="14"/>
        <v>5.3</v>
      </c>
    </row>
    <row r="948" spans="1:9" x14ac:dyDescent="0.3">
      <c r="A948">
        <v>1341</v>
      </c>
      <c r="B948">
        <v>8</v>
      </c>
      <c r="C948" t="s">
        <v>9</v>
      </c>
      <c r="D948">
        <v>2</v>
      </c>
      <c r="E948">
        <v>2024</v>
      </c>
      <c r="F948">
        <v>8</v>
      </c>
      <c r="G948" t="s">
        <v>9</v>
      </c>
      <c r="H948">
        <v>9.6</v>
      </c>
      <c r="I948">
        <f t="shared" si="14"/>
        <v>19.2</v>
      </c>
    </row>
    <row r="949" spans="1:9" x14ac:dyDescent="0.3">
      <c r="A949">
        <v>1342</v>
      </c>
      <c r="B949">
        <v>3</v>
      </c>
      <c r="C949" t="s">
        <v>6</v>
      </c>
      <c r="D949">
        <v>2</v>
      </c>
      <c r="E949">
        <v>2024</v>
      </c>
      <c r="F949">
        <v>3</v>
      </c>
      <c r="G949" t="s">
        <v>6</v>
      </c>
      <c r="H949">
        <v>6.8</v>
      </c>
      <c r="I949">
        <f t="shared" si="14"/>
        <v>13.6</v>
      </c>
    </row>
    <row r="950" spans="1:9" x14ac:dyDescent="0.3">
      <c r="A950">
        <v>1343</v>
      </c>
      <c r="B950">
        <v>10</v>
      </c>
      <c r="C950" t="s">
        <v>7</v>
      </c>
      <c r="D950">
        <v>4</v>
      </c>
      <c r="E950">
        <v>2024</v>
      </c>
      <c r="F950">
        <v>10</v>
      </c>
      <c r="G950" t="s">
        <v>7</v>
      </c>
      <c r="H950">
        <v>5.3</v>
      </c>
      <c r="I950">
        <f t="shared" si="14"/>
        <v>21.2</v>
      </c>
    </row>
    <row r="951" spans="1:9" x14ac:dyDescent="0.3">
      <c r="A951">
        <v>1344</v>
      </c>
      <c r="B951">
        <v>12</v>
      </c>
      <c r="C951" t="s">
        <v>6</v>
      </c>
      <c r="D951">
        <v>1</v>
      </c>
      <c r="E951">
        <v>2024</v>
      </c>
      <c r="F951">
        <v>12</v>
      </c>
      <c r="G951" t="s">
        <v>6</v>
      </c>
      <c r="H951">
        <v>7.5</v>
      </c>
      <c r="I951">
        <f t="shared" si="14"/>
        <v>7.5</v>
      </c>
    </row>
    <row r="952" spans="1:9" x14ac:dyDescent="0.3">
      <c r="A952">
        <v>1345</v>
      </c>
      <c r="B952">
        <v>2</v>
      </c>
      <c r="C952" t="s">
        <v>7</v>
      </c>
      <c r="D952">
        <v>1</v>
      </c>
      <c r="E952">
        <v>2024</v>
      </c>
      <c r="F952">
        <v>2</v>
      </c>
      <c r="G952" t="s">
        <v>7</v>
      </c>
      <c r="H952">
        <v>5.2</v>
      </c>
      <c r="I952">
        <f t="shared" si="14"/>
        <v>5.2</v>
      </c>
    </row>
    <row r="953" spans="1:9" x14ac:dyDescent="0.3">
      <c r="A953">
        <v>1346</v>
      </c>
      <c r="B953">
        <v>1</v>
      </c>
      <c r="C953" t="s">
        <v>7</v>
      </c>
      <c r="D953">
        <v>2</v>
      </c>
      <c r="E953">
        <v>2024</v>
      </c>
      <c r="F953">
        <v>1</v>
      </c>
      <c r="G953" t="s">
        <v>7</v>
      </c>
      <c r="H953">
        <v>5.2</v>
      </c>
      <c r="I953">
        <f t="shared" si="14"/>
        <v>10.4</v>
      </c>
    </row>
    <row r="954" spans="1:9" x14ac:dyDescent="0.3">
      <c r="A954">
        <v>1346</v>
      </c>
      <c r="B954">
        <v>3</v>
      </c>
      <c r="C954" t="s">
        <v>6</v>
      </c>
      <c r="D954">
        <v>1</v>
      </c>
      <c r="E954">
        <v>2024</v>
      </c>
      <c r="F954">
        <v>3</v>
      </c>
      <c r="G954" t="s">
        <v>6</v>
      </c>
      <c r="H954">
        <v>6.8</v>
      </c>
      <c r="I954">
        <f t="shared" si="14"/>
        <v>6.8</v>
      </c>
    </row>
    <row r="955" spans="1:9" x14ac:dyDescent="0.3">
      <c r="A955">
        <v>1347</v>
      </c>
      <c r="B955">
        <v>12</v>
      </c>
      <c r="C955" t="s">
        <v>6</v>
      </c>
      <c r="D955">
        <v>2</v>
      </c>
      <c r="E955">
        <v>2024</v>
      </c>
      <c r="F955">
        <v>12</v>
      </c>
      <c r="G955" t="s">
        <v>6</v>
      </c>
      <c r="H955">
        <v>7.5</v>
      </c>
      <c r="I955">
        <f t="shared" si="14"/>
        <v>15</v>
      </c>
    </row>
    <row r="956" spans="1:9" x14ac:dyDescent="0.3">
      <c r="A956">
        <v>1348</v>
      </c>
      <c r="B956">
        <v>2</v>
      </c>
      <c r="C956" t="s">
        <v>6</v>
      </c>
      <c r="D956">
        <v>2</v>
      </c>
      <c r="E956">
        <v>2024</v>
      </c>
      <c r="F956">
        <v>2</v>
      </c>
      <c r="G956" t="s">
        <v>6</v>
      </c>
      <c r="H956">
        <v>6.8</v>
      </c>
      <c r="I956">
        <f t="shared" si="14"/>
        <v>13.6</v>
      </c>
    </row>
    <row r="957" spans="1:9" x14ac:dyDescent="0.3">
      <c r="A957">
        <v>1348</v>
      </c>
      <c r="B957">
        <v>12</v>
      </c>
      <c r="C957" t="s">
        <v>8</v>
      </c>
      <c r="D957">
        <v>1</v>
      </c>
      <c r="E957">
        <v>2024</v>
      </c>
      <c r="F957">
        <v>12</v>
      </c>
      <c r="G957" t="s">
        <v>8</v>
      </c>
      <c r="H957">
        <v>4.0999999999999996</v>
      </c>
      <c r="I957">
        <f t="shared" si="14"/>
        <v>4.0999999999999996</v>
      </c>
    </row>
    <row r="958" spans="1:9" x14ac:dyDescent="0.3">
      <c r="A958">
        <v>1349</v>
      </c>
      <c r="B958">
        <v>3</v>
      </c>
      <c r="C958" t="s">
        <v>7</v>
      </c>
      <c r="D958">
        <v>1</v>
      </c>
      <c r="E958">
        <v>2024</v>
      </c>
      <c r="F958">
        <v>3</v>
      </c>
      <c r="G958" t="s">
        <v>7</v>
      </c>
      <c r="H958">
        <v>5.2</v>
      </c>
      <c r="I958">
        <f t="shared" si="14"/>
        <v>5.2</v>
      </c>
    </row>
    <row r="959" spans="1:9" x14ac:dyDescent="0.3">
      <c r="A959">
        <v>1349</v>
      </c>
      <c r="B959">
        <v>8</v>
      </c>
      <c r="C959" t="s">
        <v>6</v>
      </c>
      <c r="D959">
        <v>1</v>
      </c>
      <c r="E959">
        <v>2024</v>
      </c>
      <c r="F959">
        <v>8</v>
      </c>
      <c r="G959" t="s">
        <v>6</v>
      </c>
      <c r="H959">
        <v>7.7</v>
      </c>
      <c r="I959">
        <f t="shared" si="14"/>
        <v>7.7</v>
      </c>
    </row>
    <row r="960" spans="1:9" x14ac:dyDescent="0.3">
      <c r="A960">
        <v>1350</v>
      </c>
      <c r="B960">
        <v>2</v>
      </c>
      <c r="C960" t="s">
        <v>6</v>
      </c>
      <c r="D960">
        <v>1</v>
      </c>
      <c r="E960">
        <v>2024</v>
      </c>
      <c r="F960">
        <v>2</v>
      </c>
      <c r="G960" t="s">
        <v>6</v>
      </c>
      <c r="H960">
        <v>6.8</v>
      </c>
      <c r="I960">
        <f t="shared" si="14"/>
        <v>6.8</v>
      </c>
    </row>
    <row r="961" spans="1:9" x14ac:dyDescent="0.3">
      <c r="A961">
        <v>1351</v>
      </c>
      <c r="B961">
        <v>8</v>
      </c>
      <c r="C961" t="s">
        <v>6</v>
      </c>
      <c r="D961">
        <v>1</v>
      </c>
      <c r="E961">
        <v>2024</v>
      </c>
      <c r="F961">
        <v>8</v>
      </c>
      <c r="G961" t="s">
        <v>6</v>
      </c>
      <c r="H961">
        <v>7.7</v>
      </c>
      <c r="I961">
        <f t="shared" si="14"/>
        <v>7.7</v>
      </c>
    </row>
    <row r="962" spans="1:9" x14ac:dyDescent="0.3">
      <c r="A962">
        <v>1352</v>
      </c>
      <c r="B962">
        <v>5</v>
      </c>
      <c r="C962" t="s">
        <v>6</v>
      </c>
      <c r="D962">
        <v>1</v>
      </c>
      <c r="E962">
        <v>2024</v>
      </c>
      <c r="F962">
        <v>5</v>
      </c>
      <c r="G962" t="s">
        <v>6</v>
      </c>
      <c r="H962">
        <v>7.5</v>
      </c>
      <c r="I962">
        <f t="shared" si="14"/>
        <v>7.5</v>
      </c>
    </row>
    <row r="963" spans="1:9" x14ac:dyDescent="0.3">
      <c r="A963">
        <v>1353</v>
      </c>
      <c r="B963">
        <v>1</v>
      </c>
      <c r="C963" t="s">
        <v>6</v>
      </c>
      <c r="D963">
        <v>1</v>
      </c>
      <c r="E963">
        <v>2024</v>
      </c>
      <c r="F963">
        <v>1</v>
      </c>
      <c r="G963" t="s">
        <v>6</v>
      </c>
      <c r="H963">
        <v>6.8</v>
      </c>
      <c r="I963">
        <f t="shared" ref="I963:I1026" si="15">D963*H963</f>
        <v>6.8</v>
      </c>
    </row>
    <row r="964" spans="1:9" x14ac:dyDescent="0.3">
      <c r="A964">
        <v>1354</v>
      </c>
      <c r="B964">
        <v>10</v>
      </c>
      <c r="C964" t="s">
        <v>6</v>
      </c>
      <c r="D964">
        <v>1</v>
      </c>
      <c r="E964">
        <v>2024</v>
      </c>
      <c r="F964">
        <v>10</v>
      </c>
      <c r="G964" t="s">
        <v>6</v>
      </c>
      <c r="H964">
        <v>7.5</v>
      </c>
      <c r="I964">
        <f t="shared" si="15"/>
        <v>7.5</v>
      </c>
    </row>
    <row r="965" spans="1:9" x14ac:dyDescent="0.3">
      <c r="A965">
        <v>1355</v>
      </c>
      <c r="B965">
        <v>4</v>
      </c>
      <c r="C965" t="s">
        <v>6</v>
      </c>
      <c r="D965">
        <v>1</v>
      </c>
      <c r="E965">
        <v>2024</v>
      </c>
      <c r="F965">
        <v>4</v>
      </c>
      <c r="G965" t="s">
        <v>6</v>
      </c>
      <c r="H965">
        <v>6.8</v>
      </c>
      <c r="I965">
        <f t="shared" si="15"/>
        <v>6.8</v>
      </c>
    </row>
    <row r="966" spans="1:9" x14ac:dyDescent="0.3">
      <c r="A966">
        <v>1356</v>
      </c>
      <c r="B966">
        <v>12</v>
      </c>
      <c r="C966" t="s">
        <v>7</v>
      </c>
      <c r="D966">
        <v>1</v>
      </c>
      <c r="E966">
        <v>2024</v>
      </c>
      <c r="F966">
        <v>12</v>
      </c>
      <c r="G966" t="s">
        <v>7</v>
      </c>
      <c r="H966">
        <v>5.3</v>
      </c>
      <c r="I966">
        <f t="shared" si="15"/>
        <v>5.3</v>
      </c>
    </row>
    <row r="967" spans="1:9" x14ac:dyDescent="0.3">
      <c r="A967">
        <v>1357</v>
      </c>
      <c r="B967">
        <v>2</v>
      </c>
      <c r="C967" t="s">
        <v>7</v>
      </c>
      <c r="D967">
        <v>1</v>
      </c>
      <c r="E967">
        <v>2024</v>
      </c>
      <c r="F967">
        <v>2</v>
      </c>
      <c r="G967" t="s">
        <v>7</v>
      </c>
      <c r="H967">
        <v>5.2</v>
      </c>
      <c r="I967">
        <f t="shared" si="15"/>
        <v>5.2</v>
      </c>
    </row>
    <row r="968" spans="1:9" x14ac:dyDescent="0.3">
      <c r="A968">
        <v>1358</v>
      </c>
      <c r="B968">
        <v>7</v>
      </c>
      <c r="C968" t="s">
        <v>6</v>
      </c>
      <c r="D968">
        <v>1</v>
      </c>
      <c r="E968">
        <v>2024</v>
      </c>
      <c r="F968">
        <v>7</v>
      </c>
      <c r="G968" t="s">
        <v>6</v>
      </c>
      <c r="H968">
        <v>7.5</v>
      </c>
      <c r="I968">
        <f t="shared" si="15"/>
        <v>7.5</v>
      </c>
    </row>
    <row r="969" spans="1:9" x14ac:dyDescent="0.3">
      <c r="A969">
        <v>1359</v>
      </c>
      <c r="B969">
        <v>3</v>
      </c>
      <c r="C969" t="s">
        <v>6</v>
      </c>
      <c r="D969">
        <v>2</v>
      </c>
      <c r="E969">
        <v>2024</v>
      </c>
      <c r="F969">
        <v>3</v>
      </c>
      <c r="G969" t="s">
        <v>6</v>
      </c>
      <c r="H969">
        <v>6.8</v>
      </c>
      <c r="I969">
        <f t="shared" si="15"/>
        <v>13.6</v>
      </c>
    </row>
    <row r="970" spans="1:9" x14ac:dyDescent="0.3">
      <c r="A970">
        <v>1360</v>
      </c>
      <c r="B970">
        <v>14</v>
      </c>
      <c r="C970" t="s">
        <v>7</v>
      </c>
      <c r="D970">
        <v>2</v>
      </c>
      <c r="E970">
        <v>2024</v>
      </c>
      <c r="F970">
        <v>14</v>
      </c>
      <c r="G970" t="s">
        <v>7</v>
      </c>
      <c r="H970">
        <v>4.0999999999999996</v>
      </c>
      <c r="I970">
        <f t="shared" si="15"/>
        <v>8.1999999999999993</v>
      </c>
    </row>
    <row r="971" spans="1:9" x14ac:dyDescent="0.3">
      <c r="A971">
        <v>1361</v>
      </c>
      <c r="B971">
        <v>14</v>
      </c>
      <c r="C971" t="s">
        <v>8</v>
      </c>
      <c r="D971">
        <v>1</v>
      </c>
      <c r="E971">
        <v>2024</v>
      </c>
      <c r="F971">
        <v>14</v>
      </c>
      <c r="G971" t="s">
        <v>8</v>
      </c>
      <c r="H971">
        <v>3</v>
      </c>
      <c r="I971">
        <f t="shared" si="15"/>
        <v>3</v>
      </c>
    </row>
    <row r="972" spans="1:9" x14ac:dyDescent="0.3">
      <c r="A972">
        <v>1362</v>
      </c>
      <c r="B972">
        <v>6</v>
      </c>
      <c r="C972" t="s">
        <v>7</v>
      </c>
      <c r="D972">
        <v>1</v>
      </c>
      <c r="E972">
        <v>2024</v>
      </c>
      <c r="F972">
        <v>6</v>
      </c>
      <c r="G972" t="s">
        <v>7</v>
      </c>
      <c r="H972">
        <v>5.3</v>
      </c>
      <c r="I972">
        <f t="shared" si="15"/>
        <v>5.3</v>
      </c>
    </row>
    <row r="973" spans="1:9" x14ac:dyDescent="0.3">
      <c r="A973">
        <v>1363</v>
      </c>
      <c r="B973">
        <v>7</v>
      </c>
      <c r="C973" t="s">
        <v>6</v>
      </c>
      <c r="D973">
        <v>1</v>
      </c>
      <c r="E973">
        <v>2024</v>
      </c>
      <c r="F973">
        <v>7</v>
      </c>
      <c r="G973" t="s">
        <v>6</v>
      </c>
      <c r="H973">
        <v>7.5</v>
      </c>
      <c r="I973">
        <f t="shared" si="15"/>
        <v>7.5</v>
      </c>
    </row>
    <row r="974" spans="1:9" x14ac:dyDescent="0.3">
      <c r="A974">
        <v>1364</v>
      </c>
      <c r="B974">
        <v>4</v>
      </c>
      <c r="C974" t="s">
        <v>7</v>
      </c>
      <c r="D974">
        <v>1</v>
      </c>
      <c r="E974">
        <v>2024</v>
      </c>
      <c r="F974">
        <v>4</v>
      </c>
      <c r="G974" t="s">
        <v>7</v>
      </c>
      <c r="H974">
        <v>4.8</v>
      </c>
      <c r="I974">
        <f t="shared" si="15"/>
        <v>4.8</v>
      </c>
    </row>
    <row r="975" spans="1:9" x14ac:dyDescent="0.3">
      <c r="A975">
        <v>1365</v>
      </c>
      <c r="B975">
        <v>13</v>
      </c>
      <c r="C975" t="s">
        <v>7</v>
      </c>
      <c r="D975">
        <v>1</v>
      </c>
      <c r="E975">
        <v>2024</v>
      </c>
      <c r="F975">
        <v>13</v>
      </c>
      <c r="G975" t="s">
        <v>7</v>
      </c>
      <c r="H975">
        <v>5.3</v>
      </c>
      <c r="I975">
        <f t="shared" si="15"/>
        <v>5.3</v>
      </c>
    </row>
    <row r="976" spans="1:9" x14ac:dyDescent="0.3">
      <c r="A976">
        <v>1366</v>
      </c>
      <c r="B976">
        <v>8</v>
      </c>
      <c r="C976" t="s">
        <v>9</v>
      </c>
      <c r="D976">
        <v>2</v>
      </c>
      <c r="E976">
        <v>2024</v>
      </c>
      <c r="F976">
        <v>8</v>
      </c>
      <c r="G976" t="s">
        <v>9</v>
      </c>
      <c r="H976">
        <v>9.6</v>
      </c>
      <c r="I976">
        <f t="shared" si="15"/>
        <v>19.2</v>
      </c>
    </row>
    <row r="977" spans="1:9" x14ac:dyDescent="0.3">
      <c r="A977">
        <v>1367</v>
      </c>
      <c r="B977">
        <v>4</v>
      </c>
      <c r="C977" t="s">
        <v>6</v>
      </c>
      <c r="D977">
        <v>3</v>
      </c>
      <c r="E977">
        <v>2024</v>
      </c>
      <c r="F977">
        <v>4</v>
      </c>
      <c r="G977" t="s">
        <v>6</v>
      </c>
      <c r="H977">
        <v>6.8</v>
      </c>
      <c r="I977">
        <f t="shared" si="15"/>
        <v>20.399999999999999</v>
      </c>
    </row>
    <row r="978" spans="1:9" x14ac:dyDescent="0.3">
      <c r="A978">
        <v>1368</v>
      </c>
      <c r="B978">
        <v>6</v>
      </c>
      <c r="C978" t="s">
        <v>6</v>
      </c>
      <c r="D978">
        <v>1</v>
      </c>
      <c r="E978">
        <v>2024</v>
      </c>
      <c r="F978">
        <v>6</v>
      </c>
      <c r="G978" t="s">
        <v>6</v>
      </c>
      <c r="H978">
        <v>7.5</v>
      </c>
      <c r="I978">
        <f t="shared" si="15"/>
        <v>7.5</v>
      </c>
    </row>
    <row r="979" spans="1:9" x14ac:dyDescent="0.3">
      <c r="A979">
        <v>1369</v>
      </c>
      <c r="B979">
        <v>2</v>
      </c>
      <c r="C979" t="s">
        <v>6</v>
      </c>
      <c r="D979">
        <v>1</v>
      </c>
      <c r="E979">
        <v>2024</v>
      </c>
      <c r="F979">
        <v>2</v>
      </c>
      <c r="G979" t="s">
        <v>6</v>
      </c>
      <c r="H979">
        <v>6.8</v>
      </c>
      <c r="I979">
        <f t="shared" si="15"/>
        <v>6.8</v>
      </c>
    </row>
    <row r="980" spans="1:9" x14ac:dyDescent="0.3">
      <c r="A980">
        <v>1369</v>
      </c>
      <c r="B980">
        <v>6</v>
      </c>
      <c r="C980" t="s">
        <v>7</v>
      </c>
      <c r="D980">
        <v>1</v>
      </c>
      <c r="E980">
        <v>2024</v>
      </c>
      <c r="F980">
        <v>6</v>
      </c>
      <c r="G980" t="s">
        <v>7</v>
      </c>
      <c r="H980">
        <v>5.3</v>
      </c>
      <c r="I980">
        <f t="shared" si="15"/>
        <v>5.3</v>
      </c>
    </row>
    <row r="981" spans="1:9" x14ac:dyDescent="0.3">
      <c r="A981">
        <v>1370</v>
      </c>
      <c r="B981">
        <v>10</v>
      </c>
      <c r="C981" t="s">
        <v>6</v>
      </c>
      <c r="D981">
        <v>1</v>
      </c>
      <c r="E981">
        <v>2024</v>
      </c>
      <c r="F981">
        <v>10</v>
      </c>
      <c r="G981" t="s">
        <v>6</v>
      </c>
      <c r="H981">
        <v>7.5</v>
      </c>
      <c r="I981">
        <f t="shared" si="15"/>
        <v>7.5</v>
      </c>
    </row>
    <row r="982" spans="1:9" x14ac:dyDescent="0.3">
      <c r="A982">
        <v>1371</v>
      </c>
      <c r="B982">
        <v>5</v>
      </c>
      <c r="C982" t="s">
        <v>6</v>
      </c>
      <c r="D982">
        <v>1</v>
      </c>
      <c r="E982">
        <v>2024</v>
      </c>
      <c r="F982">
        <v>5</v>
      </c>
      <c r="G982" t="s">
        <v>6</v>
      </c>
      <c r="H982">
        <v>7.5</v>
      </c>
      <c r="I982">
        <f t="shared" si="15"/>
        <v>7.5</v>
      </c>
    </row>
    <row r="983" spans="1:9" x14ac:dyDescent="0.3">
      <c r="A983">
        <v>1372</v>
      </c>
      <c r="B983">
        <v>3</v>
      </c>
      <c r="C983" t="s">
        <v>7</v>
      </c>
      <c r="D983">
        <v>1</v>
      </c>
      <c r="E983">
        <v>2024</v>
      </c>
      <c r="F983">
        <v>3</v>
      </c>
      <c r="G983" t="s">
        <v>7</v>
      </c>
      <c r="H983">
        <v>5.2</v>
      </c>
      <c r="I983">
        <f t="shared" si="15"/>
        <v>5.2</v>
      </c>
    </row>
    <row r="984" spans="1:9" x14ac:dyDescent="0.3">
      <c r="A984">
        <v>1373</v>
      </c>
      <c r="B984">
        <v>10</v>
      </c>
      <c r="C984" t="s">
        <v>6</v>
      </c>
      <c r="D984">
        <v>2</v>
      </c>
      <c r="E984">
        <v>2024</v>
      </c>
      <c r="F984">
        <v>10</v>
      </c>
      <c r="G984" t="s">
        <v>6</v>
      </c>
      <c r="H984">
        <v>7.5</v>
      </c>
      <c r="I984">
        <f t="shared" si="15"/>
        <v>15</v>
      </c>
    </row>
    <row r="985" spans="1:9" x14ac:dyDescent="0.3">
      <c r="A985">
        <v>1374</v>
      </c>
      <c r="B985">
        <v>3</v>
      </c>
      <c r="C985" t="s">
        <v>6</v>
      </c>
      <c r="D985">
        <v>2</v>
      </c>
      <c r="E985">
        <v>2024</v>
      </c>
      <c r="F985">
        <v>3</v>
      </c>
      <c r="G985" t="s">
        <v>6</v>
      </c>
      <c r="H985">
        <v>6.8</v>
      </c>
      <c r="I985">
        <f t="shared" si="15"/>
        <v>13.6</v>
      </c>
    </row>
    <row r="986" spans="1:9" x14ac:dyDescent="0.3">
      <c r="A986">
        <v>1374</v>
      </c>
      <c r="B986">
        <v>7</v>
      </c>
      <c r="C986" t="s">
        <v>7</v>
      </c>
      <c r="D986">
        <v>1</v>
      </c>
      <c r="E986">
        <v>2024</v>
      </c>
      <c r="F986">
        <v>7</v>
      </c>
      <c r="G986" t="s">
        <v>7</v>
      </c>
      <c r="H986">
        <v>5.3</v>
      </c>
      <c r="I986">
        <f t="shared" si="15"/>
        <v>5.3</v>
      </c>
    </row>
    <row r="987" spans="1:9" x14ac:dyDescent="0.3">
      <c r="A987">
        <v>1375</v>
      </c>
      <c r="B987">
        <v>4</v>
      </c>
      <c r="C987" t="s">
        <v>6</v>
      </c>
      <c r="D987">
        <v>3</v>
      </c>
      <c r="E987">
        <v>2024</v>
      </c>
      <c r="F987">
        <v>4</v>
      </c>
      <c r="G987" t="s">
        <v>6</v>
      </c>
      <c r="H987">
        <v>6.8</v>
      </c>
      <c r="I987">
        <f t="shared" si="15"/>
        <v>20.399999999999999</v>
      </c>
    </row>
    <row r="988" spans="1:9" x14ac:dyDescent="0.3">
      <c r="A988">
        <v>1376</v>
      </c>
      <c r="B988">
        <v>7</v>
      </c>
      <c r="C988" t="s">
        <v>7</v>
      </c>
      <c r="D988">
        <v>1</v>
      </c>
      <c r="E988">
        <v>2024</v>
      </c>
      <c r="F988">
        <v>7</v>
      </c>
      <c r="G988" t="s">
        <v>7</v>
      </c>
      <c r="H988">
        <v>5.3</v>
      </c>
      <c r="I988">
        <f t="shared" si="15"/>
        <v>5.3</v>
      </c>
    </row>
    <row r="989" spans="1:9" x14ac:dyDescent="0.3">
      <c r="A989">
        <v>1377</v>
      </c>
      <c r="B989">
        <v>10</v>
      </c>
      <c r="C989" t="s">
        <v>6</v>
      </c>
      <c r="D989">
        <v>1</v>
      </c>
      <c r="E989">
        <v>2024</v>
      </c>
      <c r="F989">
        <v>10</v>
      </c>
      <c r="G989" t="s">
        <v>6</v>
      </c>
      <c r="H989">
        <v>7.5</v>
      </c>
      <c r="I989">
        <f t="shared" si="15"/>
        <v>7.5</v>
      </c>
    </row>
    <row r="990" spans="1:9" x14ac:dyDescent="0.3">
      <c r="A990">
        <v>1378</v>
      </c>
      <c r="B990">
        <v>2</v>
      </c>
      <c r="C990" t="s">
        <v>7</v>
      </c>
      <c r="D990">
        <v>1</v>
      </c>
      <c r="E990">
        <v>2024</v>
      </c>
      <c r="F990">
        <v>2</v>
      </c>
      <c r="G990" t="s">
        <v>7</v>
      </c>
      <c r="H990">
        <v>5.2</v>
      </c>
      <c r="I990">
        <f t="shared" si="15"/>
        <v>5.2</v>
      </c>
    </row>
    <row r="991" spans="1:9" x14ac:dyDescent="0.3">
      <c r="A991">
        <v>1379</v>
      </c>
      <c r="B991">
        <v>3</v>
      </c>
      <c r="C991" t="s">
        <v>6</v>
      </c>
      <c r="D991">
        <v>2</v>
      </c>
      <c r="E991">
        <v>2024</v>
      </c>
      <c r="F991">
        <v>3</v>
      </c>
      <c r="G991" t="s">
        <v>6</v>
      </c>
      <c r="H991">
        <v>6.8</v>
      </c>
      <c r="I991">
        <f t="shared" si="15"/>
        <v>13.6</v>
      </c>
    </row>
    <row r="992" spans="1:9" x14ac:dyDescent="0.3">
      <c r="A992">
        <v>1380</v>
      </c>
      <c r="B992">
        <v>1</v>
      </c>
      <c r="C992" t="s">
        <v>7</v>
      </c>
      <c r="D992">
        <v>1</v>
      </c>
      <c r="E992">
        <v>2024</v>
      </c>
      <c r="F992">
        <v>1</v>
      </c>
      <c r="G992" t="s">
        <v>7</v>
      </c>
      <c r="H992">
        <v>5.2</v>
      </c>
      <c r="I992">
        <f t="shared" si="15"/>
        <v>5.2</v>
      </c>
    </row>
    <row r="993" spans="1:9" x14ac:dyDescent="0.3">
      <c r="A993">
        <v>1381</v>
      </c>
      <c r="B993">
        <v>6</v>
      </c>
      <c r="C993" t="s">
        <v>6</v>
      </c>
      <c r="D993">
        <v>2</v>
      </c>
      <c r="E993">
        <v>2024</v>
      </c>
      <c r="F993">
        <v>6</v>
      </c>
      <c r="G993" t="s">
        <v>6</v>
      </c>
      <c r="H993">
        <v>7.5</v>
      </c>
      <c r="I993">
        <f t="shared" si="15"/>
        <v>15</v>
      </c>
    </row>
    <row r="994" spans="1:9" x14ac:dyDescent="0.3">
      <c r="A994">
        <v>1382</v>
      </c>
      <c r="B994">
        <v>4</v>
      </c>
      <c r="C994" t="s">
        <v>7</v>
      </c>
      <c r="D994">
        <v>1</v>
      </c>
      <c r="E994">
        <v>2024</v>
      </c>
      <c r="F994">
        <v>4</v>
      </c>
      <c r="G994" t="s">
        <v>7</v>
      </c>
      <c r="H994">
        <v>4.8</v>
      </c>
      <c r="I994">
        <f t="shared" si="15"/>
        <v>4.8</v>
      </c>
    </row>
    <row r="995" spans="1:9" x14ac:dyDescent="0.3">
      <c r="A995">
        <v>1382</v>
      </c>
      <c r="B995">
        <v>10</v>
      </c>
      <c r="C995" t="s">
        <v>6</v>
      </c>
      <c r="D995">
        <v>1</v>
      </c>
      <c r="E995">
        <v>2024</v>
      </c>
      <c r="F995">
        <v>10</v>
      </c>
      <c r="G995" t="s">
        <v>6</v>
      </c>
      <c r="H995">
        <v>7.5</v>
      </c>
      <c r="I995">
        <f t="shared" si="15"/>
        <v>7.5</v>
      </c>
    </row>
    <row r="996" spans="1:9" x14ac:dyDescent="0.3">
      <c r="A996">
        <v>1383</v>
      </c>
      <c r="B996">
        <v>1</v>
      </c>
      <c r="C996" t="s">
        <v>7</v>
      </c>
      <c r="D996">
        <v>2</v>
      </c>
      <c r="E996">
        <v>2024</v>
      </c>
      <c r="F996">
        <v>1</v>
      </c>
      <c r="G996" t="s">
        <v>7</v>
      </c>
      <c r="H996">
        <v>5.2</v>
      </c>
      <c r="I996">
        <f t="shared" si="15"/>
        <v>10.4</v>
      </c>
    </row>
    <row r="997" spans="1:9" x14ac:dyDescent="0.3">
      <c r="A997">
        <v>1384</v>
      </c>
      <c r="B997">
        <v>6</v>
      </c>
      <c r="C997" t="s">
        <v>6</v>
      </c>
      <c r="D997">
        <v>1</v>
      </c>
      <c r="E997">
        <v>2024</v>
      </c>
      <c r="F997">
        <v>6</v>
      </c>
      <c r="G997" t="s">
        <v>6</v>
      </c>
      <c r="H997">
        <v>7.5</v>
      </c>
      <c r="I997">
        <f t="shared" si="15"/>
        <v>7.5</v>
      </c>
    </row>
    <row r="998" spans="1:9" x14ac:dyDescent="0.3">
      <c r="A998">
        <v>1385</v>
      </c>
      <c r="B998">
        <v>2</v>
      </c>
      <c r="C998" t="s">
        <v>7</v>
      </c>
      <c r="D998">
        <v>1</v>
      </c>
      <c r="E998">
        <v>2024</v>
      </c>
      <c r="F998">
        <v>2</v>
      </c>
      <c r="G998" t="s">
        <v>7</v>
      </c>
      <c r="H998">
        <v>5.2</v>
      </c>
      <c r="I998">
        <f t="shared" si="15"/>
        <v>5.2</v>
      </c>
    </row>
    <row r="999" spans="1:9" x14ac:dyDescent="0.3">
      <c r="A999">
        <v>1386</v>
      </c>
      <c r="B999">
        <v>1</v>
      </c>
      <c r="C999" t="s">
        <v>6</v>
      </c>
      <c r="D999">
        <v>1</v>
      </c>
      <c r="E999">
        <v>2024</v>
      </c>
      <c r="F999">
        <v>1</v>
      </c>
      <c r="G999" t="s">
        <v>6</v>
      </c>
      <c r="H999">
        <v>6.8</v>
      </c>
      <c r="I999">
        <f t="shared" si="15"/>
        <v>6.8</v>
      </c>
    </row>
    <row r="1000" spans="1:9" x14ac:dyDescent="0.3">
      <c r="A1000">
        <v>1387</v>
      </c>
      <c r="B1000">
        <v>10</v>
      </c>
      <c r="C1000" t="s">
        <v>6</v>
      </c>
      <c r="D1000">
        <v>2</v>
      </c>
      <c r="E1000">
        <v>2024</v>
      </c>
      <c r="F1000">
        <v>10</v>
      </c>
      <c r="G1000" t="s">
        <v>6</v>
      </c>
      <c r="H1000">
        <v>7.5</v>
      </c>
      <c r="I1000">
        <f t="shared" si="15"/>
        <v>15</v>
      </c>
    </row>
    <row r="1001" spans="1:9" x14ac:dyDescent="0.3">
      <c r="A1001">
        <v>1388</v>
      </c>
      <c r="B1001">
        <v>14</v>
      </c>
      <c r="C1001" t="s">
        <v>7</v>
      </c>
      <c r="D1001">
        <v>1</v>
      </c>
      <c r="E1001">
        <v>2024</v>
      </c>
      <c r="F1001">
        <v>14</v>
      </c>
      <c r="G1001" t="s">
        <v>7</v>
      </c>
      <c r="H1001">
        <v>4.0999999999999996</v>
      </c>
      <c r="I1001">
        <f t="shared" si="15"/>
        <v>4.0999999999999996</v>
      </c>
    </row>
    <row r="1002" spans="1:9" x14ac:dyDescent="0.3">
      <c r="A1002">
        <v>1389</v>
      </c>
      <c r="B1002">
        <v>13</v>
      </c>
      <c r="C1002" t="s">
        <v>6</v>
      </c>
      <c r="D1002">
        <v>1</v>
      </c>
      <c r="E1002">
        <v>2024</v>
      </c>
      <c r="F1002">
        <v>13</v>
      </c>
      <c r="G1002" t="s">
        <v>6</v>
      </c>
      <c r="H1002">
        <v>7.5</v>
      </c>
      <c r="I1002">
        <f t="shared" si="15"/>
        <v>7.5</v>
      </c>
    </row>
    <row r="1003" spans="1:9" x14ac:dyDescent="0.3">
      <c r="A1003">
        <v>1390</v>
      </c>
      <c r="B1003">
        <v>10</v>
      </c>
      <c r="C1003" t="s">
        <v>7</v>
      </c>
      <c r="D1003">
        <v>1</v>
      </c>
      <c r="E1003">
        <v>2024</v>
      </c>
      <c r="F1003">
        <v>10</v>
      </c>
      <c r="G1003" t="s">
        <v>7</v>
      </c>
      <c r="H1003">
        <v>5.3</v>
      </c>
      <c r="I1003">
        <f t="shared" si="15"/>
        <v>5.3</v>
      </c>
    </row>
    <row r="1004" spans="1:9" x14ac:dyDescent="0.3">
      <c r="A1004">
        <v>1390</v>
      </c>
      <c r="B1004">
        <v>11</v>
      </c>
      <c r="C1004" t="s">
        <v>6</v>
      </c>
      <c r="D1004">
        <v>2</v>
      </c>
      <c r="E1004">
        <v>2024</v>
      </c>
      <c r="F1004">
        <v>11</v>
      </c>
      <c r="G1004" t="s">
        <v>6</v>
      </c>
      <c r="H1004">
        <v>7.5</v>
      </c>
      <c r="I1004">
        <f t="shared" si="15"/>
        <v>15</v>
      </c>
    </row>
    <row r="1005" spans="1:9" x14ac:dyDescent="0.3">
      <c r="A1005">
        <v>1391</v>
      </c>
      <c r="B1005">
        <v>2</v>
      </c>
      <c r="C1005" t="s">
        <v>7</v>
      </c>
      <c r="D1005">
        <v>1</v>
      </c>
      <c r="E1005">
        <v>2024</v>
      </c>
      <c r="F1005">
        <v>2</v>
      </c>
      <c r="G1005" t="s">
        <v>7</v>
      </c>
      <c r="H1005">
        <v>5.2</v>
      </c>
      <c r="I1005">
        <f t="shared" si="15"/>
        <v>5.2</v>
      </c>
    </row>
    <row r="1006" spans="1:9" x14ac:dyDescent="0.3">
      <c r="A1006">
        <v>1392</v>
      </c>
      <c r="B1006">
        <v>2</v>
      </c>
      <c r="C1006" t="s">
        <v>7</v>
      </c>
      <c r="D1006">
        <v>1</v>
      </c>
      <c r="E1006">
        <v>2024</v>
      </c>
      <c r="F1006">
        <v>2</v>
      </c>
      <c r="G1006" t="s">
        <v>7</v>
      </c>
      <c r="H1006">
        <v>5.2</v>
      </c>
      <c r="I1006">
        <f t="shared" si="15"/>
        <v>5.2</v>
      </c>
    </row>
    <row r="1007" spans="1:9" x14ac:dyDescent="0.3">
      <c r="A1007">
        <v>1392</v>
      </c>
      <c r="B1007">
        <v>11</v>
      </c>
      <c r="C1007" t="s">
        <v>7</v>
      </c>
      <c r="D1007">
        <v>1</v>
      </c>
      <c r="E1007">
        <v>2024</v>
      </c>
      <c r="F1007">
        <v>11</v>
      </c>
      <c r="G1007" t="s">
        <v>7</v>
      </c>
      <c r="H1007">
        <v>5.3</v>
      </c>
      <c r="I1007">
        <f t="shared" si="15"/>
        <v>5.3</v>
      </c>
    </row>
    <row r="1008" spans="1:9" x14ac:dyDescent="0.3">
      <c r="A1008">
        <v>1393</v>
      </c>
      <c r="B1008">
        <v>7</v>
      </c>
      <c r="C1008" t="s">
        <v>6</v>
      </c>
      <c r="D1008">
        <v>1</v>
      </c>
      <c r="E1008">
        <v>2024</v>
      </c>
      <c r="F1008">
        <v>7</v>
      </c>
      <c r="G1008" t="s">
        <v>6</v>
      </c>
      <c r="H1008">
        <v>7.5</v>
      </c>
      <c r="I1008">
        <f t="shared" si="15"/>
        <v>7.5</v>
      </c>
    </row>
    <row r="1009" spans="1:9" x14ac:dyDescent="0.3">
      <c r="A1009">
        <v>1393</v>
      </c>
      <c r="B1009">
        <v>12</v>
      </c>
      <c r="C1009" t="s">
        <v>7</v>
      </c>
      <c r="D1009">
        <v>1</v>
      </c>
      <c r="E1009">
        <v>2024</v>
      </c>
      <c r="F1009">
        <v>12</v>
      </c>
      <c r="G1009" t="s">
        <v>7</v>
      </c>
      <c r="H1009">
        <v>5.3</v>
      </c>
      <c r="I1009">
        <f t="shared" si="15"/>
        <v>5.3</v>
      </c>
    </row>
    <row r="1010" spans="1:9" x14ac:dyDescent="0.3">
      <c r="A1010">
        <v>1394</v>
      </c>
      <c r="B1010">
        <v>6</v>
      </c>
      <c r="C1010" t="s">
        <v>7</v>
      </c>
      <c r="D1010">
        <v>1</v>
      </c>
      <c r="E1010">
        <v>2024</v>
      </c>
      <c r="F1010">
        <v>6</v>
      </c>
      <c r="G1010" t="s">
        <v>7</v>
      </c>
      <c r="H1010">
        <v>5.3</v>
      </c>
      <c r="I1010">
        <f t="shared" si="15"/>
        <v>5.3</v>
      </c>
    </row>
    <row r="1011" spans="1:9" x14ac:dyDescent="0.3">
      <c r="A1011">
        <v>1395</v>
      </c>
      <c r="B1011">
        <v>7</v>
      </c>
      <c r="C1011" t="s">
        <v>7</v>
      </c>
      <c r="D1011">
        <v>1</v>
      </c>
      <c r="E1011">
        <v>2024</v>
      </c>
      <c r="F1011">
        <v>7</v>
      </c>
      <c r="G1011" t="s">
        <v>7</v>
      </c>
      <c r="H1011">
        <v>5.3</v>
      </c>
      <c r="I1011">
        <f t="shared" si="15"/>
        <v>5.3</v>
      </c>
    </row>
    <row r="1012" spans="1:9" x14ac:dyDescent="0.3">
      <c r="A1012">
        <v>1396</v>
      </c>
      <c r="B1012">
        <v>1</v>
      </c>
      <c r="C1012" t="s">
        <v>7</v>
      </c>
      <c r="D1012">
        <v>1</v>
      </c>
      <c r="E1012">
        <v>2024</v>
      </c>
      <c r="F1012">
        <v>1</v>
      </c>
      <c r="G1012" t="s">
        <v>7</v>
      </c>
      <c r="H1012">
        <v>5.2</v>
      </c>
      <c r="I1012">
        <f t="shared" si="15"/>
        <v>5.2</v>
      </c>
    </row>
    <row r="1013" spans="1:9" x14ac:dyDescent="0.3">
      <c r="A1013">
        <v>1396</v>
      </c>
      <c r="B1013">
        <v>8</v>
      </c>
      <c r="C1013" t="s">
        <v>8</v>
      </c>
      <c r="D1013">
        <v>1</v>
      </c>
      <c r="E1013">
        <v>2024</v>
      </c>
      <c r="F1013">
        <v>8</v>
      </c>
      <c r="G1013" t="s">
        <v>8</v>
      </c>
      <c r="H1013">
        <v>4.2</v>
      </c>
      <c r="I1013">
        <f t="shared" si="15"/>
        <v>4.2</v>
      </c>
    </row>
    <row r="1014" spans="1:9" x14ac:dyDescent="0.3">
      <c r="A1014">
        <v>1397</v>
      </c>
      <c r="B1014">
        <v>7</v>
      </c>
      <c r="C1014" t="s">
        <v>7</v>
      </c>
      <c r="D1014">
        <v>1</v>
      </c>
      <c r="E1014">
        <v>2024</v>
      </c>
      <c r="F1014">
        <v>7</v>
      </c>
      <c r="G1014" t="s">
        <v>7</v>
      </c>
      <c r="H1014">
        <v>5.3</v>
      </c>
      <c r="I1014">
        <f t="shared" si="15"/>
        <v>5.3</v>
      </c>
    </row>
    <row r="1015" spans="1:9" x14ac:dyDescent="0.3">
      <c r="A1015">
        <v>1398</v>
      </c>
      <c r="B1015">
        <v>5</v>
      </c>
      <c r="C1015" t="s">
        <v>6</v>
      </c>
      <c r="D1015">
        <v>1</v>
      </c>
      <c r="E1015">
        <v>2024</v>
      </c>
      <c r="F1015">
        <v>5</v>
      </c>
      <c r="G1015" t="s">
        <v>6</v>
      </c>
      <c r="H1015">
        <v>7.5</v>
      </c>
      <c r="I1015">
        <f t="shared" si="15"/>
        <v>7.5</v>
      </c>
    </row>
    <row r="1016" spans="1:9" x14ac:dyDescent="0.3">
      <c r="A1016">
        <v>1399</v>
      </c>
      <c r="B1016">
        <v>6</v>
      </c>
      <c r="C1016" t="s">
        <v>7</v>
      </c>
      <c r="D1016">
        <v>1</v>
      </c>
      <c r="E1016">
        <v>2024</v>
      </c>
      <c r="F1016">
        <v>6</v>
      </c>
      <c r="G1016" t="s">
        <v>7</v>
      </c>
      <c r="H1016">
        <v>5.3</v>
      </c>
      <c r="I1016">
        <f t="shared" si="15"/>
        <v>5.3</v>
      </c>
    </row>
    <row r="1017" spans="1:9" x14ac:dyDescent="0.3">
      <c r="A1017">
        <v>1400</v>
      </c>
      <c r="B1017">
        <v>9</v>
      </c>
      <c r="C1017" t="s">
        <v>6</v>
      </c>
      <c r="D1017">
        <v>1</v>
      </c>
      <c r="E1017">
        <v>2024</v>
      </c>
      <c r="F1017">
        <v>9</v>
      </c>
      <c r="G1017" t="s">
        <v>6</v>
      </c>
      <c r="H1017">
        <v>7.7</v>
      </c>
      <c r="I1017">
        <f t="shared" si="15"/>
        <v>7.7</v>
      </c>
    </row>
    <row r="1018" spans="1:9" x14ac:dyDescent="0.3">
      <c r="A1018">
        <v>1401</v>
      </c>
      <c r="B1018">
        <v>2</v>
      </c>
      <c r="C1018" t="s">
        <v>8</v>
      </c>
      <c r="D1018">
        <v>3</v>
      </c>
      <c r="E1018">
        <v>2024</v>
      </c>
      <c r="F1018">
        <v>2</v>
      </c>
      <c r="G1018" t="s">
        <v>8</v>
      </c>
      <c r="H1018">
        <v>4</v>
      </c>
      <c r="I1018">
        <f t="shared" si="15"/>
        <v>12</v>
      </c>
    </row>
    <row r="1019" spans="1:9" x14ac:dyDescent="0.3">
      <c r="A1019">
        <v>1402</v>
      </c>
      <c r="B1019">
        <v>10</v>
      </c>
      <c r="C1019" t="s">
        <v>6</v>
      </c>
      <c r="D1019">
        <v>1</v>
      </c>
      <c r="E1019">
        <v>2024</v>
      </c>
      <c r="F1019">
        <v>10</v>
      </c>
      <c r="G1019" t="s">
        <v>6</v>
      </c>
      <c r="H1019">
        <v>7.5</v>
      </c>
      <c r="I1019">
        <f t="shared" si="15"/>
        <v>7.5</v>
      </c>
    </row>
    <row r="1020" spans="1:9" x14ac:dyDescent="0.3">
      <c r="A1020">
        <v>1402</v>
      </c>
      <c r="B1020">
        <v>10</v>
      </c>
      <c r="C1020" t="s">
        <v>7</v>
      </c>
      <c r="D1020">
        <v>2</v>
      </c>
      <c r="E1020">
        <v>2024</v>
      </c>
      <c r="F1020">
        <v>10</v>
      </c>
      <c r="G1020" t="s">
        <v>7</v>
      </c>
      <c r="H1020">
        <v>5.3</v>
      </c>
      <c r="I1020">
        <f t="shared" si="15"/>
        <v>10.6</v>
      </c>
    </row>
    <row r="1021" spans="1:9" x14ac:dyDescent="0.3">
      <c r="A1021">
        <v>1403</v>
      </c>
      <c r="B1021">
        <v>14</v>
      </c>
      <c r="C1021" t="s">
        <v>7</v>
      </c>
      <c r="D1021">
        <v>1</v>
      </c>
      <c r="E1021">
        <v>2024</v>
      </c>
      <c r="F1021">
        <v>14</v>
      </c>
      <c r="G1021" t="s">
        <v>7</v>
      </c>
      <c r="H1021">
        <v>4.0999999999999996</v>
      </c>
      <c r="I1021">
        <f t="shared" si="15"/>
        <v>4.0999999999999996</v>
      </c>
    </row>
    <row r="1022" spans="1:9" x14ac:dyDescent="0.3">
      <c r="A1022">
        <v>1404</v>
      </c>
      <c r="B1022">
        <v>4</v>
      </c>
      <c r="C1022" t="s">
        <v>7</v>
      </c>
      <c r="D1022">
        <v>1</v>
      </c>
      <c r="E1022">
        <v>2024</v>
      </c>
      <c r="F1022">
        <v>4</v>
      </c>
      <c r="G1022" t="s">
        <v>7</v>
      </c>
      <c r="H1022">
        <v>4.8</v>
      </c>
      <c r="I1022">
        <f t="shared" si="15"/>
        <v>4.8</v>
      </c>
    </row>
    <row r="1023" spans="1:9" x14ac:dyDescent="0.3">
      <c r="A1023">
        <v>1405</v>
      </c>
      <c r="B1023">
        <v>2</v>
      </c>
      <c r="C1023" t="s">
        <v>7</v>
      </c>
      <c r="D1023">
        <v>1</v>
      </c>
      <c r="E1023">
        <v>2024</v>
      </c>
      <c r="F1023">
        <v>2</v>
      </c>
      <c r="G1023" t="s">
        <v>7</v>
      </c>
      <c r="H1023">
        <v>5.2</v>
      </c>
      <c r="I1023">
        <f t="shared" si="15"/>
        <v>5.2</v>
      </c>
    </row>
    <row r="1024" spans="1:9" x14ac:dyDescent="0.3">
      <c r="A1024">
        <v>1406</v>
      </c>
      <c r="B1024">
        <v>6</v>
      </c>
      <c r="C1024" t="s">
        <v>6</v>
      </c>
      <c r="D1024">
        <v>1</v>
      </c>
      <c r="E1024">
        <v>2024</v>
      </c>
      <c r="F1024">
        <v>6</v>
      </c>
      <c r="G1024" t="s">
        <v>6</v>
      </c>
      <c r="H1024">
        <v>7.5</v>
      </c>
      <c r="I1024">
        <f t="shared" si="15"/>
        <v>7.5</v>
      </c>
    </row>
    <row r="1025" spans="1:9" x14ac:dyDescent="0.3">
      <c r="A1025">
        <v>1407</v>
      </c>
      <c r="B1025">
        <v>2</v>
      </c>
      <c r="C1025" t="s">
        <v>8</v>
      </c>
      <c r="D1025">
        <v>1</v>
      </c>
      <c r="E1025">
        <v>2024</v>
      </c>
      <c r="F1025">
        <v>2</v>
      </c>
      <c r="G1025" t="s">
        <v>8</v>
      </c>
      <c r="H1025">
        <v>4</v>
      </c>
      <c r="I1025">
        <f t="shared" si="15"/>
        <v>4</v>
      </c>
    </row>
    <row r="1026" spans="1:9" x14ac:dyDescent="0.3">
      <c r="A1026">
        <v>1408</v>
      </c>
      <c r="B1026">
        <v>1</v>
      </c>
      <c r="C1026" t="s">
        <v>8</v>
      </c>
      <c r="D1026">
        <v>1</v>
      </c>
      <c r="E1026">
        <v>2024</v>
      </c>
      <c r="F1026">
        <v>1</v>
      </c>
      <c r="G1026" t="s">
        <v>8</v>
      </c>
      <c r="H1026">
        <v>4</v>
      </c>
      <c r="I1026">
        <f t="shared" si="15"/>
        <v>4</v>
      </c>
    </row>
    <row r="1027" spans="1:9" x14ac:dyDescent="0.3">
      <c r="A1027">
        <v>1409</v>
      </c>
      <c r="B1027">
        <v>6</v>
      </c>
      <c r="C1027" t="s">
        <v>7</v>
      </c>
      <c r="D1027">
        <v>1</v>
      </c>
      <c r="E1027">
        <v>2024</v>
      </c>
      <c r="F1027">
        <v>6</v>
      </c>
      <c r="G1027" t="s">
        <v>7</v>
      </c>
      <c r="H1027">
        <v>5.3</v>
      </c>
      <c r="I1027">
        <f t="shared" ref="I1027:I1032" si="16">D1027*H1027</f>
        <v>5.3</v>
      </c>
    </row>
    <row r="1028" spans="1:9" x14ac:dyDescent="0.3">
      <c r="A1028">
        <v>1410</v>
      </c>
      <c r="B1028">
        <v>8</v>
      </c>
      <c r="C1028" t="s">
        <v>9</v>
      </c>
      <c r="D1028">
        <v>1</v>
      </c>
      <c r="E1028">
        <v>2024</v>
      </c>
      <c r="F1028">
        <v>8</v>
      </c>
      <c r="G1028" t="s">
        <v>9</v>
      </c>
      <c r="H1028">
        <v>9.6</v>
      </c>
      <c r="I1028">
        <f t="shared" si="16"/>
        <v>9.6</v>
      </c>
    </row>
    <row r="1029" spans="1:9" x14ac:dyDescent="0.3">
      <c r="A1029">
        <v>1411</v>
      </c>
      <c r="B1029">
        <v>12</v>
      </c>
      <c r="C1029" t="s">
        <v>6</v>
      </c>
      <c r="D1029">
        <v>2</v>
      </c>
      <c r="E1029">
        <v>2024</v>
      </c>
      <c r="F1029">
        <v>12</v>
      </c>
      <c r="G1029" t="s">
        <v>6</v>
      </c>
      <c r="H1029">
        <v>7.5</v>
      </c>
      <c r="I1029">
        <f t="shared" si="16"/>
        <v>15</v>
      </c>
    </row>
    <row r="1030" spans="1:9" x14ac:dyDescent="0.3">
      <c r="A1030">
        <v>1412</v>
      </c>
      <c r="B1030">
        <v>11</v>
      </c>
      <c r="C1030" t="s">
        <v>6</v>
      </c>
      <c r="D1030">
        <v>2</v>
      </c>
      <c r="E1030">
        <v>2024</v>
      </c>
      <c r="F1030">
        <v>11</v>
      </c>
      <c r="G1030" t="s">
        <v>6</v>
      </c>
      <c r="H1030">
        <v>7.5</v>
      </c>
      <c r="I1030">
        <f t="shared" si="16"/>
        <v>15</v>
      </c>
    </row>
    <row r="1031" spans="1:9" x14ac:dyDescent="0.3">
      <c r="A1031">
        <v>1413</v>
      </c>
      <c r="B1031">
        <v>12</v>
      </c>
      <c r="C1031" t="s">
        <v>7</v>
      </c>
      <c r="D1031">
        <v>1</v>
      </c>
      <c r="E1031">
        <v>2024</v>
      </c>
      <c r="F1031">
        <v>12</v>
      </c>
      <c r="G1031" t="s">
        <v>7</v>
      </c>
      <c r="H1031">
        <v>5.3</v>
      </c>
      <c r="I1031">
        <f t="shared" si="16"/>
        <v>5.3</v>
      </c>
    </row>
    <row r="1032" spans="1:9" x14ac:dyDescent="0.3">
      <c r="A1032">
        <v>1414</v>
      </c>
      <c r="B1032">
        <v>3</v>
      </c>
      <c r="C1032" t="s">
        <v>6</v>
      </c>
      <c r="D1032">
        <v>1</v>
      </c>
      <c r="E1032">
        <v>2024</v>
      </c>
      <c r="F1032">
        <v>3</v>
      </c>
      <c r="G1032" t="s">
        <v>6</v>
      </c>
      <c r="H1032">
        <v>6.8</v>
      </c>
      <c r="I1032">
        <f t="shared" si="16"/>
        <v>6.8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9:K31"/>
  <sheetViews>
    <sheetView zoomScaleNormal="100" workbookViewId="0"/>
  </sheetViews>
  <sheetFormatPr baseColWidth="10" defaultRowHeight="14.4" x14ac:dyDescent="0.3"/>
  <cols>
    <col min="1" max="1" width="11.44140625" customWidth="1"/>
    <col min="10" max="10" width="11.88671875" customWidth="1"/>
  </cols>
  <sheetData>
    <row r="9" spans="2:6" x14ac:dyDescent="0.3">
      <c r="C9" s="17" t="s">
        <v>141</v>
      </c>
      <c r="D9" s="17"/>
      <c r="E9" s="17"/>
      <c r="F9" s="13"/>
    </row>
    <row r="10" spans="2:6" x14ac:dyDescent="0.3">
      <c r="B10" s="3">
        <v>2022</v>
      </c>
      <c r="C10" s="21">
        <v>2051.0000000000036</v>
      </c>
      <c r="D10" s="21"/>
      <c r="E10" s="21"/>
      <c r="F10" s="9"/>
    </row>
    <row r="11" spans="2:6" x14ac:dyDescent="0.3">
      <c r="B11" s="3">
        <v>2023</v>
      </c>
      <c r="C11" s="20">
        <v>3351.699999999998</v>
      </c>
      <c r="D11" s="20"/>
      <c r="E11" s="20"/>
      <c r="F11" s="10"/>
    </row>
    <row r="12" spans="2:6" x14ac:dyDescent="0.3">
      <c r="B12" s="3">
        <v>2024</v>
      </c>
      <c r="C12" s="19">
        <v>3063.6999999999975</v>
      </c>
      <c r="D12" s="19"/>
      <c r="E12" s="19"/>
      <c r="F12" s="11"/>
    </row>
    <row r="13" spans="2:6" x14ac:dyDescent="0.3">
      <c r="B13" s="4" t="s">
        <v>11</v>
      </c>
      <c r="C13" s="18">
        <v>8466.400000000016</v>
      </c>
      <c r="D13" s="18"/>
      <c r="E13" s="18"/>
      <c r="F13" s="12"/>
    </row>
    <row r="27" spans="8:11" x14ac:dyDescent="0.3">
      <c r="I27" s="17" t="s">
        <v>142</v>
      </c>
      <c r="J27" s="17"/>
      <c r="K27" s="16"/>
    </row>
    <row r="28" spans="8:11" x14ac:dyDescent="0.3">
      <c r="H28" s="3" t="s">
        <v>8</v>
      </c>
      <c r="I28" s="18">
        <v>472.19999999999993</v>
      </c>
      <c r="J28" s="18"/>
      <c r="K28" s="15"/>
    </row>
    <row r="29" spans="8:11" x14ac:dyDescent="0.3">
      <c r="H29" s="3" t="s">
        <v>7</v>
      </c>
      <c r="I29" s="19">
        <v>3468.5999999999967</v>
      </c>
      <c r="J29" s="19"/>
      <c r="K29" s="14"/>
    </row>
    <row r="30" spans="8:11" x14ac:dyDescent="0.3">
      <c r="H30" s="3" t="s">
        <v>6</v>
      </c>
      <c r="I30" s="20">
        <v>4186.3999999999996</v>
      </c>
      <c r="J30" s="20"/>
      <c r="K30" s="14"/>
    </row>
    <row r="31" spans="8:11" x14ac:dyDescent="0.3">
      <c r="H31" s="3" t="s">
        <v>9</v>
      </c>
      <c r="I31" s="21">
        <v>339.20000000000005</v>
      </c>
      <c r="J31" s="21"/>
      <c r="K31" s="14"/>
    </row>
  </sheetData>
  <mergeCells count="10">
    <mergeCell ref="C9:E9"/>
    <mergeCell ref="I28:J28"/>
    <mergeCell ref="I29:J29"/>
    <mergeCell ref="I30:J30"/>
    <mergeCell ref="I31:J31"/>
    <mergeCell ref="I27:J27"/>
    <mergeCell ref="C10:E10"/>
    <mergeCell ref="C11:E11"/>
    <mergeCell ref="C12:E12"/>
    <mergeCell ref="C13:E13"/>
  </mergeCells>
  <printOptions horizontalCentered="1" verticalCentered="1"/>
  <pageMargins left="3.937007874015748E-2" right="3.937007874015748E-2" top="0.39370078740157483" bottom="0.55118110236220474" header="0.31496062992125984" footer="0.31496062992125984"/>
  <pageSetup paperSize="9" pageOrder="overThenDown"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1B9E1-DC91-4B39-BFDB-A979DDFD1089}">
  <dimension ref="A1:P1032"/>
  <sheetViews>
    <sheetView workbookViewId="0"/>
  </sheetViews>
  <sheetFormatPr baseColWidth="10" defaultRowHeight="14.4" x14ac:dyDescent="0.3"/>
  <cols>
    <col min="1" max="1" width="14.5546875" bestFit="1" customWidth="1"/>
    <col min="7" max="7" width="13.5546875" bestFit="1" customWidth="1"/>
    <col min="10" max="10" width="13.5546875" bestFit="1" customWidth="1"/>
    <col min="14" max="14" width="13.5546875" bestFit="1" customWidth="1"/>
  </cols>
  <sheetData>
    <row r="1" spans="1:16" x14ac:dyDescent="0.3">
      <c r="A1" t="s">
        <v>12</v>
      </c>
      <c r="B1" t="s">
        <v>13</v>
      </c>
      <c r="C1" t="s">
        <v>14</v>
      </c>
      <c r="D1" t="s">
        <v>4</v>
      </c>
      <c r="E1" t="s">
        <v>3</v>
      </c>
    </row>
    <row r="2" spans="1:16" x14ac:dyDescent="0.3">
      <c r="A2" s="2">
        <v>44749</v>
      </c>
      <c r="B2">
        <v>5</v>
      </c>
      <c r="C2">
        <v>7</v>
      </c>
      <c r="D2">
        <v>2022</v>
      </c>
      <c r="E2">
        <v>3</v>
      </c>
      <c r="G2" t="s">
        <v>132</v>
      </c>
    </row>
    <row r="3" spans="1:16" x14ac:dyDescent="0.3">
      <c r="A3" s="2">
        <v>44749</v>
      </c>
      <c r="B3">
        <v>5</v>
      </c>
      <c r="C3">
        <v>7</v>
      </c>
      <c r="D3">
        <v>2022</v>
      </c>
      <c r="E3">
        <v>1</v>
      </c>
      <c r="G3" t="s">
        <v>134</v>
      </c>
      <c r="H3">
        <f>SUMIF(B:B,"=2",E:E)</f>
        <v>170</v>
      </c>
    </row>
    <row r="4" spans="1:16" x14ac:dyDescent="0.3">
      <c r="A4" s="2">
        <v>44749</v>
      </c>
      <c r="B4">
        <v>5</v>
      </c>
      <c r="C4">
        <v>7</v>
      </c>
      <c r="D4">
        <v>2022</v>
      </c>
      <c r="E4">
        <v>1</v>
      </c>
      <c r="G4" t="s">
        <v>135</v>
      </c>
      <c r="H4">
        <f>SUMIF(B:B,"=3",E:E)</f>
        <v>248</v>
      </c>
      <c r="M4">
        <f>AVERAGE(H3,H5:H7)</f>
        <v>178.75</v>
      </c>
    </row>
    <row r="5" spans="1:16" x14ac:dyDescent="0.3">
      <c r="A5" s="2">
        <v>44749</v>
      </c>
      <c r="B5">
        <v>5</v>
      </c>
      <c r="C5">
        <v>7</v>
      </c>
      <c r="D5">
        <v>2022</v>
      </c>
      <c r="E5">
        <v>1</v>
      </c>
      <c r="G5" t="s">
        <v>136</v>
      </c>
      <c r="H5">
        <f>SUMIF(B:B,"=4",E:E)</f>
        <v>172</v>
      </c>
      <c r="J5" t="s">
        <v>15</v>
      </c>
      <c r="K5" t="s">
        <v>16</v>
      </c>
    </row>
    <row r="6" spans="1:16" x14ac:dyDescent="0.3">
      <c r="A6" s="2">
        <v>44749</v>
      </c>
      <c r="B6">
        <v>5</v>
      </c>
      <c r="C6">
        <v>7</v>
      </c>
      <c r="D6">
        <v>2022</v>
      </c>
      <c r="E6">
        <v>1</v>
      </c>
      <c r="G6" t="s">
        <v>137</v>
      </c>
      <c r="H6">
        <f>SUMIF(B:B,"=5",E:E)</f>
        <v>181</v>
      </c>
      <c r="J6">
        <f>SUM(K13:K19,K22:K28,K31:K37)</f>
        <v>825</v>
      </c>
      <c r="K6">
        <f>SUM(L13:L19,L22:L28,L31:L37)</f>
        <v>582</v>
      </c>
    </row>
    <row r="7" spans="1:16" x14ac:dyDescent="0.3">
      <c r="A7" s="2">
        <v>44749</v>
      </c>
      <c r="B7">
        <v>5</v>
      </c>
      <c r="C7">
        <v>7</v>
      </c>
      <c r="D7">
        <v>2022</v>
      </c>
      <c r="E7">
        <v>3</v>
      </c>
      <c r="G7" t="s">
        <v>138</v>
      </c>
      <c r="H7">
        <f>SUMIF(B:B,"=6",E:E)</f>
        <v>192</v>
      </c>
    </row>
    <row r="8" spans="1:16" x14ac:dyDescent="0.3">
      <c r="A8" s="2">
        <v>44749</v>
      </c>
      <c r="B8">
        <v>5</v>
      </c>
      <c r="C8">
        <v>7</v>
      </c>
      <c r="D8">
        <v>2022</v>
      </c>
      <c r="E8">
        <v>1</v>
      </c>
      <c r="G8" t="s">
        <v>139</v>
      </c>
      <c r="H8">
        <f>SUMIF(B:B,"=7",E:E)</f>
        <v>222</v>
      </c>
    </row>
    <row r="9" spans="1:16" x14ac:dyDescent="0.3">
      <c r="A9" s="2">
        <v>44749</v>
      </c>
      <c r="B9">
        <v>5</v>
      </c>
      <c r="C9">
        <v>7</v>
      </c>
      <c r="D9">
        <v>2022</v>
      </c>
      <c r="E9">
        <v>2</v>
      </c>
      <c r="G9" t="s">
        <v>140</v>
      </c>
      <c r="H9">
        <f>SUMIF(B:B,"=1",E:E)</f>
        <v>222</v>
      </c>
    </row>
    <row r="10" spans="1:16" x14ac:dyDescent="0.3">
      <c r="A10" s="2">
        <v>44749</v>
      </c>
      <c r="B10">
        <v>5</v>
      </c>
      <c r="C10">
        <v>7</v>
      </c>
      <c r="D10">
        <v>2022</v>
      </c>
      <c r="E10">
        <v>2</v>
      </c>
      <c r="G10" t="s">
        <v>11</v>
      </c>
      <c r="H10">
        <f>SUM(H3:H9)</f>
        <v>1407</v>
      </c>
    </row>
    <row r="11" spans="1:16" x14ac:dyDescent="0.3">
      <c r="A11" s="2">
        <v>44749</v>
      </c>
      <c r="B11">
        <v>5</v>
      </c>
      <c r="C11">
        <v>7</v>
      </c>
      <c r="D11">
        <v>2022</v>
      </c>
      <c r="E11">
        <v>1</v>
      </c>
    </row>
    <row r="12" spans="1:16" x14ac:dyDescent="0.3">
      <c r="A12" s="2">
        <v>44750</v>
      </c>
      <c r="B12">
        <v>6</v>
      </c>
      <c r="C12">
        <v>7</v>
      </c>
      <c r="D12">
        <v>2022</v>
      </c>
      <c r="E12">
        <v>1</v>
      </c>
      <c r="G12">
        <v>2022</v>
      </c>
      <c r="J12">
        <v>2022</v>
      </c>
      <c r="K12" t="s">
        <v>15</v>
      </c>
      <c r="L12" t="s">
        <v>133</v>
      </c>
      <c r="O12" t="s">
        <v>15</v>
      </c>
      <c r="P12" t="s">
        <v>133</v>
      </c>
    </row>
    <row r="13" spans="1:16" x14ac:dyDescent="0.3">
      <c r="A13" s="2">
        <v>44750</v>
      </c>
      <c r="B13">
        <v>6</v>
      </c>
      <c r="C13">
        <v>7</v>
      </c>
      <c r="D13">
        <v>2022</v>
      </c>
      <c r="E13">
        <v>1</v>
      </c>
      <c r="G13" t="s">
        <v>134</v>
      </c>
      <c r="H13">
        <f>SUMIFS(E:E,B:B,"=2",D:D,"=2022")</f>
        <v>60</v>
      </c>
      <c r="J13" t="s">
        <v>134</v>
      </c>
      <c r="K13">
        <f>SUMIFS(E:E,D:D,"=2022",B:B,"=2",C:C,"=7")</f>
        <v>34</v>
      </c>
      <c r="L13">
        <f>SUMIFS(E:E,D:D,"=2022",B:B,"=2",C:C,"=8")</f>
        <v>26</v>
      </c>
      <c r="N13" t="s">
        <v>134</v>
      </c>
      <c r="O13">
        <f t="shared" ref="O13:P19" si="0">SUM(K13,K22,K31)</f>
        <v>96</v>
      </c>
      <c r="P13">
        <f t="shared" si="0"/>
        <v>74</v>
      </c>
    </row>
    <row r="14" spans="1:16" x14ac:dyDescent="0.3">
      <c r="A14" s="2">
        <v>44750</v>
      </c>
      <c r="B14">
        <v>6</v>
      </c>
      <c r="C14">
        <v>7</v>
      </c>
      <c r="D14">
        <v>2022</v>
      </c>
      <c r="E14">
        <v>2</v>
      </c>
      <c r="G14" t="s">
        <v>135</v>
      </c>
      <c r="H14">
        <f>SUMIFS(E:E,B:B,"=3",D:D,"=2022")</f>
        <v>41</v>
      </c>
      <c r="J14" t="s">
        <v>135</v>
      </c>
      <c r="K14">
        <f>SUMIFS(E:E,D:D,"=2022",B:B,"=3",C:C,"=7")</f>
        <v>17</v>
      </c>
      <c r="L14">
        <f>SUMIFS(E:E,D:D,"=2022",B:B,"=3",C:C,"=8")</f>
        <v>24</v>
      </c>
      <c r="N14" t="s">
        <v>135</v>
      </c>
      <c r="O14">
        <f t="shared" si="0"/>
        <v>164</v>
      </c>
      <c r="P14">
        <f t="shared" si="0"/>
        <v>84</v>
      </c>
    </row>
    <row r="15" spans="1:16" x14ac:dyDescent="0.3">
      <c r="A15" s="2">
        <v>44750</v>
      </c>
      <c r="B15">
        <v>6</v>
      </c>
      <c r="C15">
        <v>7</v>
      </c>
      <c r="D15">
        <v>2022</v>
      </c>
      <c r="E15">
        <v>1</v>
      </c>
      <c r="G15" t="s">
        <v>136</v>
      </c>
      <c r="H15">
        <f>SUMIFS(E:E,B:B,"=4",D:D,"=2022")</f>
        <v>44</v>
      </c>
      <c r="J15" t="s">
        <v>136</v>
      </c>
      <c r="K15">
        <f>SUMIFS(E:E,D:D,"=2022",B:B,"=4",C:C,"=7")</f>
        <v>16</v>
      </c>
      <c r="L15">
        <f>SUMIFS(E:E,D:D,"=2022",B:B,"=4",C:C,"=8")</f>
        <v>28</v>
      </c>
      <c r="N15" t="s">
        <v>136</v>
      </c>
      <c r="O15">
        <f t="shared" si="0"/>
        <v>71</v>
      </c>
      <c r="P15">
        <f t="shared" si="0"/>
        <v>101</v>
      </c>
    </row>
    <row r="16" spans="1:16" x14ac:dyDescent="0.3">
      <c r="A16" s="2">
        <v>44750</v>
      </c>
      <c r="B16">
        <v>6</v>
      </c>
      <c r="C16">
        <v>7</v>
      </c>
      <c r="D16">
        <v>2022</v>
      </c>
      <c r="E16">
        <v>1</v>
      </c>
      <c r="G16" t="s">
        <v>137</v>
      </c>
      <c r="H16">
        <f>SUMIFS(E:E,B:B,"=5",D:D,"=2022")</f>
        <v>52</v>
      </c>
      <c r="J16" t="s">
        <v>137</v>
      </c>
      <c r="K16">
        <f>SUMIFS(E:E,D:D,"=2022",B:B,"=5",C:C,"=7")</f>
        <v>35</v>
      </c>
      <c r="L16">
        <f>SUMIFS(E:E,D:D,"=2022",B:B,"=5",C:C,"=8")</f>
        <v>17</v>
      </c>
      <c r="N16" t="s">
        <v>137</v>
      </c>
      <c r="O16">
        <f t="shared" si="0"/>
        <v>100</v>
      </c>
      <c r="P16">
        <f t="shared" si="0"/>
        <v>81</v>
      </c>
    </row>
    <row r="17" spans="1:16" x14ac:dyDescent="0.3">
      <c r="A17" s="2">
        <v>44750</v>
      </c>
      <c r="B17">
        <v>6</v>
      </c>
      <c r="C17">
        <v>7</v>
      </c>
      <c r="D17">
        <v>2022</v>
      </c>
      <c r="E17">
        <v>1</v>
      </c>
      <c r="G17" t="s">
        <v>138</v>
      </c>
      <c r="H17">
        <f>SUMIFS(E:E,B:B,"=6",D:D,"=2022")</f>
        <v>52</v>
      </c>
      <c r="J17" t="s">
        <v>138</v>
      </c>
      <c r="K17">
        <f>SUMIFS(E:E,D:D,"=2022",B:B,"=6",C:C,"=7")</f>
        <v>36</v>
      </c>
      <c r="L17">
        <f>SUMIFS(E:E,D:D,"=2022",B:B,"=6",C:C,"=8")</f>
        <v>16</v>
      </c>
      <c r="N17" t="s">
        <v>138</v>
      </c>
      <c r="O17">
        <f t="shared" si="0"/>
        <v>105</v>
      </c>
      <c r="P17">
        <f t="shared" si="0"/>
        <v>87</v>
      </c>
    </row>
    <row r="18" spans="1:16" x14ac:dyDescent="0.3">
      <c r="A18" s="2">
        <v>44750</v>
      </c>
      <c r="B18">
        <v>6</v>
      </c>
      <c r="C18">
        <v>7</v>
      </c>
      <c r="D18">
        <v>2022</v>
      </c>
      <c r="E18">
        <v>2</v>
      </c>
      <c r="G18" t="s">
        <v>139</v>
      </c>
      <c r="H18">
        <f>SUMIFS(E:E,B:B,"=7",D:D,"=2022")</f>
        <v>65</v>
      </c>
      <c r="J18" t="s">
        <v>139</v>
      </c>
      <c r="K18">
        <f>SUMIFS(E:E,D:D,"=2022",B:B,"=7",C:C,"=7")</f>
        <v>45</v>
      </c>
      <c r="L18">
        <f>SUMIFS(E:E,D:D,"=2022",B:B,"=7",C:C,"=8")</f>
        <v>20</v>
      </c>
      <c r="N18" t="s">
        <v>139</v>
      </c>
      <c r="O18">
        <f t="shared" si="0"/>
        <v>134</v>
      </c>
      <c r="P18">
        <f t="shared" si="0"/>
        <v>88</v>
      </c>
    </row>
    <row r="19" spans="1:16" x14ac:dyDescent="0.3">
      <c r="A19" s="2">
        <v>44750</v>
      </c>
      <c r="B19">
        <v>6</v>
      </c>
      <c r="C19">
        <v>7</v>
      </c>
      <c r="D19">
        <v>2022</v>
      </c>
      <c r="E19">
        <v>2</v>
      </c>
      <c r="G19" t="s">
        <v>140</v>
      </c>
      <c r="H19">
        <f>SUMIFS(E:E,B:B,"=1",D:D,"=2022")</f>
        <v>36</v>
      </c>
      <c r="J19" t="s">
        <v>140</v>
      </c>
      <c r="K19">
        <f>SUMIFS(E:E,D:D,"=2022",B:B,"=1",C:C,"=7")</f>
        <v>11</v>
      </c>
      <c r="L19">
        <f>SUMIFS(E:E,D:D,"=2022",B:B,"=1",C:C,"=8")</f>
        <v>25</v>
      </c>
      <c r="N19" t="s">
        <v>140</v>
      </c>
      <c r="O19">
        <f t="shared" si="0"/>
        <v>155</v>
      </c>
      <c r="P19">
        <f t="shared" si="0"/>
        <v>67</v>
      </c>
    </row>
    <row r="20" spans="1:16" x14ac:dyDescent="0.3">
      <c r="A20" s="2">
        <v>44750</v>
      </c>
      <c r="B20">
        <v>6</v>
      </c>
      <c r="C20">
        <v>7</v>
      </c>
      <c r="D20">
        <v>2022</v>
      </c>
      <c r="E20">
        <v>1</v>
      </c>
    </row>
    <row r="21" spans="1:16" x14ac:dyDescent="0.3">
      <c r="A21" s="2">
        <v>44751</v>
      </c>
      <c r="B21">
        <v>7</v>
      </c>
      <c r="C21">
        <v>7</v>
      </c>
      <c r="D21">
        <v>2022</v>
      </c>
      <c r="E21">
        <v>1</v>
      </c>
      <c r="G21">
        <v>2023</v>
      </c>
      <c r="J21">
        <v>2023</v>
      </c>
      <c r="K21" t="s">
        <v>15</v>
      </c>
      <c r="L21" t="s">
        <v>133</v>
      </c>
    </row>
    <row r="22" spans="1:16" x14ac:dyDescent="0.3">
      <c r="A22" s="2">
        <v>44751</v>
      </c>
      <c r="B22">
        <v>7</v>
      </c>
      <c r="C22">
        <v>7</v>
      </c>
      <c r="D22">
        <v>2022</v>
      </c>
      <c r="E22">
        <v>1</v>
      </c>
      <c r="G22" t="s">
        <v>134</v>
      </c>
      <c r="H22">
        <f>SUMIFS(E:E,B:B,"=2",D:D,"=2023")</f>
        <v>41</v>
      </c>
      <c r="J22" t="s">
        <v>134</v>
      </c>
      <c r="K22">
        <f>SUMIFS(E:E,D:D,"=2023",B:B,"=2",C:C,"=7")</f>
        <v>17</v>
      </c>
      <c r="L22">
        <f>SUMIFS(E:E,D:D,"=2023",B:B,"=2",C:C,"=8")</f>
        <v>24</v>
      </c>
    </row>
    <row r="23" spans="1:16" x14ac:dyDescent="0.3">
      <c r="A23" s="2">
        <v>44751</v>
      </c>
      <c r="B23">
        <v>7</v>
      </c>
      <c r="C23">
        <v>7</v>
      </c>
      <c r="D23">
        <v>2022</v>
      </c>
      <c r="E23">
        <v>1</v>
      </c>
      <c r="G23" t="s">
        <v>135</v>
      </c>
      <c r="H23">
        <f>SUMIFS(E:E,B:B,"=3",D:D,"=2023")</f>
        <v>110</v>
      </c>
      <c r="J23" t="s">
        <v>135</v>
      </c>
      <c r="K23">
        <f>SUMIFS(E:E,D:D,"=2023",B:B,"=3",C:C,"=7")</f>
        <v>67</v>
      </c>
      <c r="L23">
        <f>SUMIFS(E:E,D:D,"=2023",B:B,"=3",C:C,"=8")</f>
        <v>43</v>
      </c>
    </row>
    <row r="24" spans="1:16" x14ac:dyDescent="0.3">
      <c r="A24" s="2">
        <v>44751</v>
      </c>
      <c r="B24">
        <v>7</v>
      </c>
      <c r="C24">
        <v>7</v>
      </c>
      <c r="D24">
        <v>2022</v>
      </c>
      <c r="E24">
        <v>1</v>
      </c>
      <c r="G24" t="s">
        <v>136</v>
      </c>
      <c r="H24">
        <f>SUMIFS(E:E,B:B,"=4",D:D,"=2023")</f>
        <v>82</v>
      </c>
      <c r="J24" t="s">
        <v>136</v>
      </c>
      <c r="K24">
        <f>SUMIFS(E:E,D:D,"=2023",B:B,"=4",C:C,"=7")</f>
        <v>40</v>
      </c>
      <c r="L24">
        <f>SUMIFS(E:E,D:D,"=2023",B:B,"=4",C:C,"=8")</f>
        <v>42</v>
      </c>
    </row>
    <row r="25" spans="1:16" x14ac:dyDescent="0.3">
      <c r="A25" s="2">
        <v>44751</v>
      </c>
      <c r="B25">
        <v>7</v>
      </c>
      <c r="C25">
        <v>7</v>
      </c>
      <c r="D25">
        <v>2022</v>
      </c>
      <c r="E25">
        <v>1</v>
      </c>
      <c r="G25" t="s">
        <v>137</v>
      </c>
      <c r="H25">
        <f>SUMIFS(E:E,B:B,"=5",D:D,"=2023")</f>
        <v>52</v>
      </c>
      <c r="J25" t="s">
        <v>137</v>
      </c>
      <c r="K25">
        <f>SUMIFS(E:E,D:D,"=2023",B:B,"=5",C:C,"=7")</f>
        <v>23</v>
      </c>
      <c r="L25">
        <f>SUMIFS(E:E,D:D,"=2023",B:B,"=5",C:C,"=8")</f>
        <v>29</v>
      </c>
    </row>
    <row r="26" spans="1:16" x14ac:dyDescent="0.3">
      <c r="A26" s="2">
        <v>44751</v>
      </c>
      <c r="B26">
        <v>7</v>
      </c>
      <c r="C26">
        <v>7</v>
      </c>
      <c r="D26">
        <v>2022</v>
      </c>
      <c r="E26">
        <v>2</v>
      </c>
      <c r="G26" t="s">
        <v>138</v>
      </c>
      <c r="H26">
        <f>SUMIFS(E:E,B:B,"=6",D:D,"=2023")</f>
        <v>53</v>
      </c>
      <c r="J26" t="s">
        <v>138</v>
      </c>
      <c r="K26">
        <f>SUMIFS(E:E,D:D,"=2023",B:B,"=6",C:C,"=7")</f>
        <v>33</v>
      </c>
      <c r="L26">
        <f>SUMIFS(E:E,D:D,"=2023",B:B,"=6",C:C,"=8")</f>
        <v>20</v>
      </c>
    </row>
    <row r="27" spans="1:16" x14ac:dyDescent="0.3">
      <c r="A27" s="2">
        <v>44751</v>
      </c>
      <c r="B27">
        <v>7</v>
      </c>
      <c r="C27">
        <v>7</v>
      </c>
      <c r="D27">
        <v>2022</v>
      </c>
      <c r="E27">
        <v>1</v>
      </c>
      <c r="G27" t="s">
        <v>139</v>
      </c>
      <c r="H27">
        <f>SUMIFS(E:E,B:B,"=7",D:D,"=2023")</f>
        <v>102</v>
      </c>
      <c r="J27" t="s">
        <v>139</v>
      </c>
      <c r="K27">
        <f>SUMIFS(E:E,D:D,"=2023",B:B,"=7",C:C,"=7")</f>
        <v>67</v>
      </c>
      <c r="L27">
        <f>SUMIFS(E:E,D:D,"=2023",B:B,"=7",C:C,"=8")</f>
        <v>35</v>
      </c>
    </row>
    <row r="28" spans="1:16" x14ac:dyDescent="0.3">
      <c r="A28" s="2">
        <v>44751</v>
      </c>
      <c r="B28">
        <v>7</v>
      </c>
      <c r="C28">
        <v>7</v>
      </c>
      <c r="D28">
        <v>2022</v>
      </c>
      <c r="E28">
        <v>1</v>
      </c>
      <c r="G28" t="s">
        <v>140</v>
      </c>
      <c r="H28">
        <f>SUMIFS(E:E,B:B,"=1",D:D,"=2023")</f>
        <v>116</v>
      </c>
      <c r="J28" t="s">
        <v>140</v>
      </c>
      <c r="K28">
        <f>SUMIFS(E:E,D:D,"=2023",B:B,"=1",C:C,"=7")</f>
        <v>92</v>
      </c>
      <c r="L28">
        <f>SUMIFS(E:E,D:D,"=2023",B:B,"=1",C:C,"=8")</f>
        <v>24</v>
      </c>
    </row>
    <row r="29" spans="1:16" x14ac:dyDescent="0.3">
      <c r="A29" s="2">
        <v>44751</v>
      </c>
      <c r="B29">
        <v>7</v>
      </c>
      <c r="C29">
        <v>7</v>
      </c>
      <c r="D29">
        <v>2022</v>
      </c>
      <c r="E29">
        <v>1</v>
      </c>
    </row>
    <row r="30" spans="1:16" x14ac:dyDescent="0.3">
      <c r="A30" s="2">
        <v>44751</v>
      </c>
      <c r="B30">
        <v>7</v>
      </c>
      <c r="C30">
        <v>7</v>
      </c>
      <c r="D30">
        <v>2022</v>
      </c>
      <c r="E30">
        <v>1</v>
      </c>
      <c r="G30">
        <v>2024</v>
      </c>
      <c r="J30">
        <v>2024</v>
      </c>
      <c r="K30" t="s">
        <v>15</v>
      </c>
      <c r="L30" t="s">
        <v>133</v>
      </c>
    </row>
    <row r="31" spans="1:16" x14ac:dyDescent="0.3">
      <c r="A31" s="2">
        <v>44751</v>
      </c>
      <c r="B31">
        <v>7</v>
      </c>
      <c r="C31">
        <v>7</v>
      </c>
      <c r="D31">
        <v>2022</v>
      </c>
      <c r="E31">
        <v>1</v>
      </c>
      <c r="G31" t="s">
        <v>134</v>
      </c>
      <c r="H31">
        <f>SUMIFS(E:E,B:B,"=2",D:D,"=2024")</f>
        <v>69</v>
      </c>
      <c r="J31" t="s">
        <v>134</v>
      </c>
      <c r="K31">
        <f>SUMIFS(E:E,D:D,"=2024",B:B,"=2",C:C,"=7")</f>
        <v>45</v>
      </c>
      <c r="L31">
        <f>SUMIFS(E:E,D:D,"=2024",B:B,"=2",C:C,"=8")</f>
        <v>24</v>
      </c>
    </row>
    <row r="32" spans="1:16" x14ac:dyDescent="0.3">
      <c r="A32" s="2">
        <v>44751</v>
      </c>
      <c r="B32">
        <v>7</v>
      </c>
      <c r="C32">
        <v>7</v>
      </c>
      <c r="D32">
        <v>2022</v>
      </c>
      <c r="E32">
        <v>1</v>
      </c>
      <c r="G32" t="s">
        <v>135</v>
      </c>
      <c r="H32">
        <f>SUMIFS(E:E,B:B,"=3",D:D,"=2024")</f>
        <v>97</v>
      </c>
      <c r="J32" t="s">
        <v>135</v>
      </c>
      <c r="K32">
        <f>SUMIFS(E:E,D:D,"=2024",B:B,"=3",C:C,"=7")</f>
        <v>80</v>
      </c>
      <c r="L32">
        <f>SUMIFS(E:E,D:D,"=2024",B:B,"=3",C:C,"=8")</f>
        <v>17</v>
      </c>
    </row>
    <row r="33" spans="1:12" x14ac:dyDescent="0.3">
      <c r="A33" s="2">
        <v>44751</v>
      </c>
      <c r="B33">
        <v>7</v>
      </c>
      <c r="C33">
        <v>7</v>
      </c>
      <c r="D33">
        <v>2022</v>
      </c>
      <c r="E33">
        <v>2</v>
      </c>
      <c r="G33" t="s">
        <v>136</v>
      </c>
      <c r="H33">
        <f>SUMIFS(E:E,B:B,"=4",D:D,"=2024")</f>
        <v>46</v>
      </c>
      <c r="J33" t="s">
        <v>136</v>
      </c>
      <c r="K33">
        <f>SUMIFS(E:E,D:D,"=2024",B:B,"=4",C:C,"=7")</f>
        <v>15</v>
      </c>
      <c r="L33">
        <f>SUMIFS(E:E,D:D,"=2024",B:B,"=4",C:C,"=8")</f>
        <v>31</v>
      </c>
    </row>
    <row r="34" spans="1:12" x14ac:dyDescent="0.3">
      <c r="A34" s="2">
        <v>44751</v>
      </c>
      <c r="B34">
        <v>7</v>
      </c>
      <c r="C34">
        <v>7</v>
      </c>
      <c r="D34">
        <v>2022</v>
      </c>
      <c r="E34">
        <v>1</v>
      </c>
      <c r="G34" t="s">
        <v>137</v>
      </c>
      <c r="H34">
        <f>SUMIFS(E:E,B:B,"=5",D:D,"=2024")</f>
        <v>77</v>
      </c>
      <c r="J34" t="s">
        <v>137</v>
      </c>
      <c r="K34">
        <f>SUMIFS(E:E,D:D,"=2024",B:B,"=5",C:C,"=7")</f>
        <v>42</v>
      </c>
      <c r="L34">
        <f>SUMIFS(E:E,D:D,"=2024",B:B,"=5",C:C,"=8")</f>
        <v>35</v>
      </c>
    </row>
    <row r="35" spans="1:12" x14ac:dyDescent="0.3">
      <c r="A35" s="2">
        <v>44751</v>
      </c>
      <c r="B35">
        <v>7</v>
      </c>
      <c r="C35">
        <v>7</v>
      </c>
      <c r="D35">
        <v>2022</v>
      </c>
      <c r="E35">
        <v>1</v>
      </c>
      <c r="G35" t="s">
        <v>138</v>
      </c>
      <c r="H35">
        <f>SUMIFS(E:E,B:B,"=6",D:D,"=2024")</f>
        <v>87</v>
      </c>
      <c r="J35" t="s">
        <v>138</v>
      </c>
      <c r="K35">
        <f>SUMIFS(E:E,D:D,"=2024",B:B,"=6",C:C,"=7")</f>
        <v>36</v>
      </c>
      <c r="L35">
        <f>SUMIFS(E:E,D:D,"=2024",B:B,"=6",C:C,"=8")</f>
        <v>51</v>
      </c>
    </row>
    <row r="36" spans="1:12" x14ac:dyDescent="0.3">
      <c r="A36" s="2">
        <v>44751</v>
      </c>
      <c r="B36">
        <v>7</v>
      </c>
      <c r="C36">
        <v>7</v>
      </c>
      <c r="D36">
        <v>2022</v>
      </c>
      <c r="E36">
        <v>1</v>
      </c>
      <c r="G36" t="s">
        <v>139</v>
      </c>
      <c r="H36">
        <f>SUMIFS(E:E,B:B,"=7",D:D,"=2024")</f>
        <v>55</v>
      </c>
      <c r="J36" t="s">
        <v>139</v>
      </c>
      <c r="K36">
        <f>SUMIFS(E:E,D:D,"=2024",B:B,"=7",C:C,"=7")</f>
        <v>22</v>
      </c>
      <c r="L36">
        <f>SUMIFS(E:E,D:D,"=2024",B:B,"=7",C:C,"=8")</f>
        <v>33</v>
      </c>
    </row>
    <row r="37" spans="1:12" x14ac:dyDescent="0.3">
      <c r="A37" s="2">
        <v>44751</v>
      </c>
      <c r="B37">
        <v>7</v>
      </c>
      <c r="C37">
        <v>7</v>
      </c>
      <c r="D37">
        <v>2022</v>
      </c>
      <c r="E37">
        <v>1</v>
      </c>
      <c r="G37" t="s">
        <v>140</v>
      </c>
      <c r="H37">
        <f>SUMIFS(E:E,B:B,"=1",D:D,"=2024")</f>
        <v>70</v>
      </c>
      <c r="J37" t="s">
        <v>140</v>
      </c>
      <c r="K37">
        <f>SUMIFS(E:E,D:D,"=2024",B:B,"=1",C:C,"=7")</f>
        <v>52</v>
      </c>
      <c r="L37">
        <f>SUMIFS(E:E,D:D,"=2024",B:B,"=1",C:C,"=8")</f>
        <v>18</v>
      </c>
    </row>
    <row r="38" spans="1:12" x14ac:dyDescent="0.3">
      <c r="A38" s="2">
        <v>44751</v>
      </c>
      <c r="B38">
        <v>7</v>
      </c>
      <c r="C38">
        <v>7</v>
      </c>
      <c r="D38">
        <v>2022</v>
      </c>
      <c r="E38">
        <v>1</v>
      </c>
    </row>
    <row r="39" spans="1:12" x14ac:dyDescent="0.3">
      <c r="A39" s="2">
        <v>44751</v>
      </c>
      <c r="B39">
        <v>7</v>
      </c>
      <c r="C39">
        <v>7</v>
      </c>
      <c r="D39">
        <v>2022</v>
      </c>
      <c r="E39">
        <v>2</v>
      </c>
    </row>
    <row r="40" spans="1:12" x14ac:dyDescent="0.3">
      <c r="A40" s="2">
        <v>44751</v>
      </c>
      <c r="B40">
        <v>7</v>
      </c>
      <c r="C40">
        <v>7</v>
      </c>
      <c r="D40">
        <v>2022</v>
      </c>
      <c r="E40">
        <v>2</v>
      </c>
    </row>
    <row r="41" spans="1:12" x14ac:dyDescent="0.3">
      <c r="A41" s="2">
        <v>44751</v>
      </c>
      <c r="B41">
        <v>7</v>
      </c>
      <c r="C41">
        <v>7</v>
      </c>
      <c r="D41">
        <v>2022</v>
      </c>
      <c r="E41">
        <v>1</v>
      </c>
    </row>
    <row r="42" spans="1:12" x14ac:dyDescent="0.3">
      <c r="A42" s="2">
        <v>44751</v>
      </c>
      <c r="B42">
        <v>7</v>
      </c>
      <c r="C42">
        <v>7</v>
      </c>
      <c r="D42">
        <v>2022</v>
      </c>
      <c r="E42">
        <v>3</v>
      </c>
    </row>
    <row r="43" spans="1:12" x14ac:dyDescent="0.3">
      <c r="A43" s="2">
        <v>44751</v>
      </c>
      <c r="B43">
        <v>7</v>
      </c>
      <c r="C43">
        <v>7</v>
      </c>
      <c r="D43">
        <v>2022</v>
      </c>
      <c r="E43">
        <v>1</v>
      </c>
    </row>
    <row r="44" spans="1:12" x14ac:dyDescent="0.3">
      <c r="A44" s="2">
        <v>44751</v>
      </c>
      <c r="B44">
        <v>7</v>
      </c>
      <c r="C44">
        <v>7</v>
      </c>
      <c r="D44">
        <v>2022</v>
      </c>
      <c r="E44">
        <v>1</v>
      </c>
    </row>
    <row r="45" spans="1:12" x14ac:dyDescent="0.3">
      <c r="A45" s="2">
        <v>44751</v>
      </c>
      <c r="B45">
        <v>7</v>
      </c>
      <c r="C45">
        <v>7</v>
      </c>
      <c r="D45">
        <v>2022</v>
      </c>
      <c r="E45">
        <v>1</v>
      </c>
    </row>
    <row r="46" spans="1:12" x14ac:dyDescent="0.3">
      <c r="A46" s="2">
        <v>44753</v>
      </c>
      <c r="B46">
        <v>2</v>
      </c>
      <c r="C46">
        <v>7</v>
      </c>
      <c r="D46">
        <v>2022</v>
      </c>
      <c r="E46">
        <v>2</v>
      </c>
    </row>
    <row r="47" spans="1:12" x14ac:dyDescent="0.3">
      <c r="A47" s="2">
        <v>44753</v>
      </c>
      <c r="B47">
        <v>2</v>
      </c>
      <c r="C47">
        <v>7</v>
      </c>
      <c r="D47">
        <v>2022</v>
      </c>
      <c r="E47">
        <v>2</v>
      </c>
    </row>
    <row r="48" spans="1:12" x14ac:dyDescent="0.3">
      <c r="A48" s="2">
        <v>44753</v>
      </c>
      <c r="B48">
        <v>2</v>
      </c>
      <c r="C48">
        <v>7</v>
      </c>
      <c r="D48">
        <v>2022</v>
      </c>
      <c r="E48">
        <v>1</v>
      </c>
    </row>
    <row r="49" spans="1:5" x14ac:dyDescent="0.3">
      <c r="A49" s="2">
        <v>44753</v>
      </c>
      <c r="B49">
        <v>2</v>
      </c>
      <c r="C49">
        <v>7</v>
      </c>
      <c r="D49">
        <v>2022</v>
      </c>
      <c r="E49">
        <v>2</v>
      </c>
    </row>
    <row r="50" spans="1:5" x14ac:dyDescent="0.3">
      <c r="A50" s="2">
        <v>44753</v>
      </c>
      <c r="B50">
        <v>2</v>
      </c>
      <c r="C50">
        <v>7</v>
      </c>
      <c r="D50">
        <v>2022</v>
      </c>
      <c r="E50">
        <v>1</v>
      </c>
    </row>
    <row r="51" spans="1:5" x14ac:dyDescent="0.3">
      <c r="A51" s="2">
        <v>44753</v>
      </c>
      <c r="B51">
        <v>2</v>
      </c>
      <c r="C51">
        <v>7</v>
      </c>
      <c r="D51">
        <v>2022</v>
      </c>
      <c r="E51">
        <v>1</v>
      </c>
    </row>
    <row r="52" spans="1:5" x14ac:dyDescent="0.3">
      <c r="A52" s="2">
        <v>44753</v>
      </c>
      <c r="B52">
        <v>2</v>
      </c>
      <c r="C52">
        <v>7</v>
      </c>
      <c r="D52">
        <v>2022</v>
      </c>
      <c r="E52">
        <v>1</v>
      </c>
    </row>
    <row r="53" spans="1:5" x14ac:dyDescent="0.3">
      <c r="A53" s="2">
        <v>44753</v>
      </c>
      <c r="B53">
        <v>2</v>
      </c>
      <c r="C53">
        <v>7</v>
      </c>
      <c r="D53">
        <v>2022</v>
      </c>
      <c r="E53">
        <v>2</v>
      </c>
    </row>
    <row r="54" spans="1:5" x14ac:dyDescent="0.3">
      <c r="A54" s="2">
        <v>44753</v>
      </c>
      <c r="B54">
        <v>2</v>
      </c>
      <c r="C54">
        <v>7</v>
      </c>
      <c r="D54">
        <v>2022</v>
      </c>
      <c r="E54">
        <v>1</v>
      </c>
    </row>
    <row r="55" spans="1:5" x14ac:dyDescent="0.3">
      <c r="A55" s="2">
        <v>44753</v>
      </c>
      <c r="B55">
        <v>2</v>
      </c>
      <c r="C55">
        <v>7</v>
      </c>
      <c r="D55">
        <v>2022</v>
      </c>
      <c r="E55">
        <v>1</v>
      </c>
    </row>
    <row r="56" spans="1:5" x14ac:dyDescent="0.3">
      <c r="A56" s="2">
        <v>44753</v>
      </c>
      <c r="B56">
        <v>2</v>
      </c>
      <c r="C56">
        <v>7</v>
      </c>
      <c r="D56">
        <v>2022</v>
      </c>
      <c r="E56">
        <v>1</v>
      </c>
    </row>
    <row r="57" spans="1:5" x14ac:dyDescent="0.3">
      <c r="A57" s="2">
        <v>44753</v>
      </c>
      <c r="B57">
        <v>2</v>
      </c>
      <c r="C57">
        <v>7</v>
      </c>
      <c r="D57">
        <v>2022</v>
      </c>
      <c r="E57">
        <v>1</v>
      </c>
    </row>
    <row r="58" spans="1:5" x14ac:dyDescent="0.3">
      <c r="A58" s="2">
        <v>44753</v>
      </c>
      <c r="B58">
        <v>2</v>
      </c>
      <c r="C58">
        <v>7</v>
      </c>
      <c r="D58">
        <v>2022</v>
      </c>
      <c r="E58">
        <v>1</v>
      </c>
    </row>
    <row r="59" spans="1:5" x14ac:dyDescent="0.3">
      <c r="A59" s="2">
        <v>44753</v>
      </c>
      <c r="B59">
        <v>2</v>
      </c>
      <c r="C59">
        <v>7</v>
      </c>
      <c r="D59">
        <v>2022</v>
      </c>
      <c r="E59">
        <v>2</v>
      </c>
    </row>
    <row r="60" spans="1:5" x14ac:dyDescent="0.3">
      <c r="A60" s="2">
        <v>44753</v>
      </c>
      <c r="B60">
        <v>2</v>
      </c>
      <c r="C60">
        <v>7</v>
      </c>
      <c r="D60">
        <v>2022</v>
      </c>
      <c r="E60">
        <v>1</v>
      </c>
    </row>
    <row r="61" spans="1:5" x14ac:dyDescent="0.3">
      <c r="A61" s="2">
        <v>44753</v>
      </c>
      <c r="B61">
        <v>2</v>
      </c>
      <c r="C61">
        <v>7</v>
      </c>
      <c r="D61">
        <v>2022</v>
      </c>
      <c r="E61">
        <v>1</v>
      </c>
    </row>
    <row r="62" spans="1:5" x14ac:dyDescent="0.3">
      <c r="A62" s="2">
        <v>44753</v>
      </c>
      <c r="B62">
        <v>2</v>
      </c>
      <c r="C62">
        <v>7</v>
      </c>
      <c r="D62">
        <v>2022</v>
      </c>
      <c r="E62">
        <v>1</v>
      </c>
    </row>
    <row r="63" spans="1:5" x14ac:dyDescent="0.3">
      <c r="A63" s="2">
        <v>44753</v>
      </c>
      <c r="B63">
        <v>2</v>
      </c>
      <c r="C63">
        <v>7</v>
      </c>
      <c r="D63">
        <v>2022</v>
      </c>
      <c r="E63">
        <v>1</v>
      </c>
    </row>
    <row r="64" spans="1:5" x14ac:dyDescent="0.3">
      <c r="A64" s="2">
        <v>44753</v>
      </c>
      <c r="B64">
        <v>2</v>
      </c>
      <c r="C64">
        <v>7</v>
      </c>
      <c r="D64">
        <v>2022</v>
      </c>
      <c r="E64">
        <v>1</v>
      </c>
    </row>
    <row r="65" spans="1:5" x14ac:dyDescent="0.3">
      <c r="A65" s="2">
        <v>44753</v>
      </c>
      <c r="B65">
        <v>2</v>
      </c>
      <c r="C65">
        <v>7</v>
      </c>
      <c r="D65">
        <v>2022</v>
      </c>
      <c r="E65">
        <v>1</v>
      </c>
    </row>
    <row r="66" spans="1:5" x14ac:dyDescent="0.3">
      <c r="A66" s="2">
        <v>44754</v>
      </c>
      <c r="B66">
        <v>3</v>
      </c>
      <c r="C66">
        <v>7</v>
      </c>
      <c r="D66">
        <v>2022</v>
      </c>
      <c r="E66">
        <v>1</v>
      </c>
    </row>
    <row r="67" spans="1:5" x14ac:dyDescent="0.3">
      <c r="A67" s="2">
        <v>44754</v>
      </c>
      <c r="B67">
        <v>3</v>
      </c>
      <c r="C67">
        <v>7</v>
      </c>
      <c r="D67">
        <v>2022</v>
      </c>
      <c r="E67">
        <v>1</v>
      </c>
    </row>
    <row r="68" spans="1:5" x14ac:dyDescent="0.3">
      <c r="A68" s="2">
        <v>44754</v>
      </c>
      <c r="B68">
        <v>3</v>
      </c>
      <c r="C68">
        <v>7</v>
      </c>
      <c r="D68">
        <v>2022</v>
      </c>
      <c r="E68">
        <v>1</v>
      </c>
    </row>
    <row r="69" spans="1:5" x14ac:dyDescent="0.3">
      <c r="A69" s="2">
        <v>44754</v>
      </c>
      <c r="B69">
        <v>3</v>
      </c>
      <c r="C69">
        <v>7</v>
      </c>
      <c r="D69">
        <v>2022</v>
      </c>
      <c r="E69">
        <v>1</v>
      </c>
    </row>
    <row r="70" spans="1:5" x14ac:dyDescent="0.3">
      <c r="A70" s="2">
        <v>44754</v>
      </c>
      <c r="B70">
        <v>3</v>
      </c>
      <c r="C70">
        <v>7</v>
      </c>
      <c r="D70">
        <v>2022</v>
      </c>
      <c r="E70">
        <v>2</v>
      </c>
    </row>
    <row r="71" spans="1:5" x14ac:dyDescent="0.3">
      <c r="A71" s="2">
        <v>44754</v>
      </c>
      <c r="B71">
        <v>3</v>
      </c>
      <c r="C71">
        <v>7</v>
      </c>
      <c r="D71">
        <v>2022</v>
      </c>
      <c r="E71">
        <v>1</v>
      </c>
    </row>
    <row r="72" spans="1:5" x14ac:dyDescent="0.3">
      <c r="A72" s="2">
        <v>44754</v>
      </c>
      <c r="B72">
        <v>3</v>
      </c>
      <c r="C72">
        <v>7</v>
      </c>
      <c r="D72">
        <v>2022</v>
      </c>
      <c r="E72">
        <v>1</v>
      </c>
    </row>
    <row r="73" spans="1:5" x14ac:dyDescent="0.3">
      <c r="A73" s="2">
        <v>44754</v>
      </c>
      <c r="B73">
        <v>3</v>
      </c>
      <c r="C73">
        <v>7</v>
      </c>
      <c r="D73">
        <v>2022</v>
      </c>
      <c r="E73">
        <v>2</v>
      </c>
    </row>
    <row r="74" spans="1:5" x14ac:dyDescent="0.3">
      <c r="A74" s="2">
        <v>44755</v>
      </c>
      <c r="B74">
        <v>4</v>
      </c>
      <c r="C74">
        <v>7</v>
      </c>
      <c r="D74">
        <v>2022</v>
      </c>
      <c r="E74">
        <v>1</v>
      </c>
    </row>
    <row r="75" spans="1:5" x14ac:dyDescent="0.3">
      <c r="A75" s="2">
        <v>44755</v>
      </c>
      <c r="B75">
        <v>4</v>
      </c>
      <c r="C75">
        <v>7</v>
      </c>
      <c r="D75">
        <v>2022</v>
      </c>
      <c r="E75">
        <v>1</v>
      </c>
    </row>
    <row r="76" spans="1:5" x14ac:dyDescent="0.3">
      <c r="A76" s="2">
        <v>44755</v>
      </c>
      <c r="B76">
        <v>4</v>
      </c>
      <c r="C76">
        <v>7</v>
      </c>
      <c r="D76">
        <v>2022</v>
      </c>
      <c r="E76">
        <v>1</v>
      </c>
    </row>
    <row r="77" spans="1:5" x14ac:dyDescent="0.3">
      <c r="A77" s="2">
        <v>44755</v>
      </c>
      <c r="B77">
        <v>4</v>
      </c>
      <c r="C77">
        <v>7</v>
      </c>
      <c r="D77">
        <v>2022</v>
      </c>
      <c r="E77">
        <v>1</v>
      </c>
    </row>
    <row r="78" spans="1:5" x14ac:dyDescent="0.3">
      <c r="A78" s="2">
        <v>44755</v>
      </c>
      <c r="B78">
        <v>4</v>
      </c>
      <c r="C78">
        <v>7</v>
      </c>
      <c r="D78">
        <v>2022</v>
      </c>
      <c r="E78">
        <v>1</v>
      </c>
    </row>
    <row r="79" spans="1:5" x14ac:dyDescent="0.3">
      <c r="A79" s="2">
        <v>44755</v>
      </c>
      <c r="B79">
        <v>4</v>
      </c>
      <c r="C79">
        <v>7</v>
      </c>
      <c r="D79">
        <v>2022</v>
      </c>
      <c r="E79">
        <v>1</v>
      </c>
    </row>
    <row r="80" spans="1:5" x14ac:dyDescent="0.3">
      <c r="A80" s="2">
        <v>44756</v>
      </c>
      <c r="B80">
        <v>5</v>
      </c>
      <c r="C80">
        <v>7</v>
      </c>
      <c r="D80">
        <v>2022</v>
      </c>
      <c r="E80">
        <v>1</v>
      </c>
    </row>
    <row r="81" spans="1:5" x14ac:dyDescent="0.3">
      <c r="A81" s="2">
        <v>44756</v>
      </c>
      <c r="B81">
        <v>5</v>
      </c>
      <c r="C81">
        <v>7</v>
      </c>
      <c r="D81">
        <v>2022</v>
      </c>
      <c r="E81">
        <v>1</v>
      </c>
    </row>
    <row r="82" spans="1:5" x14ac:dyDescent="0.3">
      <c r="A82" s="2">
        <v>44756</v>
      </c>
      <c r="B82">
        <v>5</v>
      </c>
      <c r="C82">
        <v>7</v>
      </c>
      <c r="D82">
        <v>2022</v>
      </c>
      <c r="E82">
        <v>1</v>
      </c>
    </row>
    <row r="83" spans="1:5" x14ac:dyDescent="0.3">
      <c r="A83" s="2">
        <v>44756</v>
      </c>
      <c r="B83">
        <v>5</v>
      </c>
      <c r="C83">
        <v>7</v>
      </c>
      <c r="D83">
        <v>2022</v>
      </c>
      <c r="E83">
        <v>1</v>
      </c>
    </row>
    <row r="84" spans="1:5" x14ac:dyDescent="0.3">
      <c r="A84" s="2">
        <v>44756</v>
      </c>
      <c r="B84">
        <v>5</v>
      </c>
      <c r="C84">
        <v>7</v>
      </c>
      <c r="D84">
        <v>2022</v>
      </c>
      <c r="E84">
        <v>1</v>
      </c>
    </row>
    <row r="85" spans="1:5" x14ac:dyDescent="0.3">
      <c r="A85" s="2">
        <v>44756</v>
      </c>
      <c r="B85">
        <v>5</v>
      </c>
      <c r="C85">
        <v>7</v>
      </c>
      <c r="D85">
        <v>2022</v>
      </c>
      <c r="E85">
        <v>1</v>
      </c>
    </row>
    <row r="86" spans="1:5" x14ac:dyDescent="0.3">
      <c r="A86" s="2">
        <v>44756</v>
      </c>
      <c r="B86">
        <v>5</v>
      </c>
      <c r="C86">
        <v>7</v>
      </c>
      <c r="D86">
        <v>2022</v>
      </c>
      <c r="E86">
        <v>1</v>
      </c>
    </row>
    <row r="87" spans="1:5" x14ac:dyDescent="0.3">
      <c r="A87" s="2">
        <v>44757</v>
      </c>
      <c r="B87">
        <v>6</v>
      </c>
      <c r="C87">
        <v>7</v>
      </c>
      <c r="D87">
        <v>2022</v>
      </c>
      <c r="E87">
        <v>1</v>
      </c>
    </row>
    <row r="88" spans="1:5" x14ac:dyDescent="0.3">
      <c r="A88" s="2">
        <v>44757</v>
      </c>
      <c r="B88">
        <v>6</v>
      </c>
      <c r="C88">
        <v>7</v>
      </c>
      <c r="D88">
        <v>2022</v>
      </c>
      <c r="E88">
        <v>2</v>
      </c>
    </row>
    <row r="89" spans="1:5" x14ac:dyDescent="0.3">
      <c r="A89" s="2">
        <v>44757</v>
      </c>
      <c r="B89">
        <v>6</v>
      </c>
      <c r="C89">
        <v>7</v>
      </c>
      <c r="D89">
        <v>2022</v>
      </c>
      <c r="E89">
        <v>1</v>
      </c>
    </row>
    <row r="90" spans="1:5" x14ac:dyDescent="0.3">
      <c r="A90" s="2">
        <v>44757</v>
      </c>
      <c r="B90">
        <v>6</v>
      </c>
      <c r="C90">
        <v>7</v>
      </c>
      <c r="D90">
        <v>2022</v>
      </c>
      <c r="E90">
        <v>2</v>
      </c>
    </row>
    <row r="91" spans="1:5" x14ac:dyDescent="0.3">
      <c r="A91" s="2">
        <v>44757</v>
      </c>
      <c r="B91">
        <v>6</v>
      </c>
      <c r="C91">
        <v>7</v>
      </c>
      <c r="D91">
        <v>2022</v>
      </c>
      <c r="E91">
        <v>2</v>
      </c>
    </row>
    <row r="92" spans="1:5" x14ac:dyDescent="0.3">
      <c r="A92" s="2">
        <v>44758</v>
      </c>
      <c r="B92">
        <v>7</v>
      </c>
      <c r="C92">
        <v>7</v>
      </c>
      <c r="D92">
        <v>2022</v>
      </c>
      <c r="E92">
        <v>1</v>
      </c>
    </row>
    <row r="93" spans="1:5" x14ac:dyDescent="0.3">
      <c r="A93" s="2">
        <v>44758</v>
      </c>
      <c r="B93">
        <v>7</v>
      </c>
      <c r="C93">
        <v>7</v>
      </c>
      <c r="D93">
        <v>2022</v>
      </c>
      <c r="E93">
        <v>1</v>
      </c>
    </row>
    <row r="94" spans="1:5" x14ac:dyDescent="0.3">
      <c r="A94" s="2">
        <v>44758</v>
      </c>
      <c r="B94">
        <v>7</v>
      </c>
      <c r="C94">
        <v>7</v>
      </c>
      <c r="D94">
        <v>2022</v>
      </c>
      <c r="E94">
        <v>1</v>
      </c>
    </row>
    <row r="95" spans="1:5" x14ac:dyDescent="0.3">
      <c r="A95" s="2">
        <v>44758</v>
      </c>
      <c r="B95">
        <v>7</v>
      </c>
      <c r="C95">
        <v>7</v>
      </c>
      <c r="D95">
        <v>2022</v>
      </c>
      <c r="E95">
        <v>1</v>
      </c>
    </row>
    <row r="96" spans="1:5" x14ac:dyDescent="0.3">
      <c r="A96" s="2">
        <v>44758</v>
      </c>
      <c r="B96">
        <v>7</v>
      </c>
      <c r="C96">
        <v>7</v>
      </c>
      <c r="D96">
        <v>2022</v>
      </c>
      <c r="E96">
        <v>1</v>
      </c>
    </row>
    <row r="97" spans="1:5" x14ac:dyDescent="0.3">
      <c r="A97" s="2">
        <v>44759</v>
      </c>
      <c r="B97">
        <v>1</v>
      </c>
      <c r="C97">
        <v>7</v>
      </c>
      <c r="D97">
        <v>2022</v>
      </c>
      <c r="E97">
        <v>1</v>
      </c>
    </row>
    <row r="98" spans="1:5" x14ac:dyDescent="0.3">
      <c r="A98" s="2">
        <v>44759</v>
      </c>
      <c r="B98">
        <v>1</v>
      </c>
      <c r="C98">
        <v>7</v>
      </c>
      <c r="D98">
        <v>2022</v>
      </c>
      <c r="E98">
        <v>1</v>
      </c>
    </row>
    <row r="99" spans="1:5" x14ac:dyDescent="0.3">
      <c r="A99" s="2">
        <v>44759</v>
      </c>
      <c r="B99">
        <v>1</v>
      </c>
      <c r="C99">
        <v>7</v>
      </c>
      <c r="D99">
        <v>2022</v>
      </c>
      <c r="E99">
        <v>2</v>
      </c>
    </row>
    <row r="100" spans="1:5" x14ac:dyDescent="0.3">
      <c r="A100" s="2">
        <v>44759</v>
      </c>
      <c r="B100">
        <v>1</v>
      </c>
      <c r="C100">
        <v>7</v>
      </c>
      <c r="D100">
        <v>2022</v>
      </c>
      <c r="E100">
        <v>1</v>
      </c>
    </row>
    <row r="101" spans="1:5" x14ac:dyDescent="0.3">
      <c r="A101" s="2">
        <v>44759</v>
      </c>
      <c r="B101">
        <v>1</v>
      </c>
      <c r="C101">
        <v>7</v>
      </c>
      <c r="D101">
        <v>2022</v>
      </c>
      <c r="E101">
        <v>1</v>
      </c>
    </row>
    <row r="102" spans="1:5" x14ac:dyDescent="0.3">
      <c r="A102" s="2">
        <v>44760</v>
      </c>
      <c r="B102">
        <v>2</v>
      </c>
      <c r="C102">
        <v>7</v>
      </c>
      <c r="D102">
        <v>2022</v>
      </c>
      <c r="E102">
        <v>2</v>
      </c>
    </row>
    <row r="103" spans="1:5" x14ac:dyDescent="0.3">
      <c r="A103" s="2">
        <v>44760</v>
      </c>
      <c r="B103">
        <v>2</v>
      </c>
      <c r="C103">
        <v>7</v>
      </c>
      <c r="D103">
        <v>2022</v>
      </c>
      <c r="E103">
        <v>1</v>
      </c>
    </row>
    <row r="104" spans="1:5" x14ac:dyDescent="0.3">
      <c r="A104" s="2">
        <v>44760</v>
      </c>
      <c r="B104">
        <v>2</v>
      </c>
      <c r="C104">
        <v>7</v>
      </c>
      <c r="D104">
        <v>2022</v>
      </c>
      <c r="E104">
        <v>1</v>
      </c>
    </row>
    <row r="105" spans="1:5" x14ac:dyDescent="0.3">
      <c r="A105" s="2">
        <v>44760</v>
      </c>
      <c r="B105">
        <v>2</v>
      </c>
      <c r="C105">
        <v>7</v>
      </c>
      <c r="D105">
        <v>2022</v>
      </c>
      <c r="E105">
        <v>1</v>
      </c>
    </row>
    <row r="106" spans="1:5" x14ac:dyDescent="0.3">
      <c r="A106" s="2">
        <v>44761</v>
      </c>
      <c r="B106">
        <v>3</v>
      </c>
      <c r="C106">
        <v>7</v>
      </c>
      <c r="D106">
        <v>2022</v>
      </c>
      <c r="E106">
        <v>1</v>
      </c>
    </row>
    <row r="107" spans="1:5" x14ac:dyDescent="0.3">
      <c r="A107" s="2">
        <v>44761</v>
      </c>
      <c r="B107">
        <v>3</v>
      </c>
      <c r="C107">
        <v>7</v>
      </c>
      <c r="D107">
        <v>2022</v>
      </c>
      <c r="E107">
        <v>1</v>
      </c>
    </row>
    <row r="108" spans="1:5" x14ac:dyDescent="0.3">
      <c r="A108" s="2">
        <v>44761</v>
      </c>
      <c r="B108">
        <v>3</v>
      </c>
      <c r="C108">
        <v>7</v>
      </c>
      <c r="D108">
        <v>2022</v>
      </c>
      <c r="E108">
        <v>1</v>
      </c>
    </row>
    <row r="109" spans="1:5" x14ac:dyDescent="0.3">
      <c r="A109" s="2">
        <v>44761</v>
      </c>
      <c r="B109">
        <v>3</v>
      </c>
      <c r="C109">
        <v>7</v>
      </c>
      <c r="D109">
        <v>2022</v>
      </c>
      <c r="E109">
        <v>1</v>
      </c>
    </row>
    <row r="110" spans="1:5" x14ac:dyDescent="0.3">
      <c r="A110" s="2">
        <v>44761</v>
      </c>
      <c r="B110">
        <v>3</v>
      </c>
      <c r="C110">
        <v>7</v>
      </c>
      <c r="D110">
        <v>2022</v>
      </c>
      <c r="E110">
        <v>1</v>
      </c>
    </row>
    <row r="111" spans="1:5" x14ac:dyDescent="0.3">
      <c r="A111" s="2">
        <v>44762</v>
      </c>
      <c r="B111">
        <v>4</v>
      </c>
      <c r="C111">
        <v>7</v>
      </c>
      <c r="D111">
        <v>2022</v>
      </c>
      <c r="E111">
        <v>1</v>
      </c>
    </row>
    <row r="112" spans="1:5" x14ac:dyDescent="0.3">
      <c r="A112" s="2">
        <v>44762</v>
      </c>
      <c r="B112">
        <v>4</v>
      </c>
      <c r="C112">
        <v>7</v>
      </c>
      <c r="D112">
        <v>2022</v>
      </c>
      <c r="E112">
        <v>1</v>
      </c>
    </row>
    <row r="113" spans="1:5" x14ac:dyDescent="0.3">
      <c r="A113" s="2">
        <v>44762</v>
      </c>
      <c r="B113">
        <v>4</v>
      </c>
      <c r="C113">
        <v>7</v>
      </c>
      <c r="D113">
        <v>2022</v>
      </c>
      <c r="E113">
        <v>1</v>
      </c>
    </row>
    <row r="114" spans="1:5" x14ac:dyDescent="0.3">
      <c r="A114" s="2">
        <v>44762</v>
      </c>
      <c r="B114">
        <v>4</v>
      </c>
      <c r="C114">
        <v>7</v>
      </c>
      <c r="D114">
        <v>2022</v>
      </c>
      <c r="E114">
        <v>2</v>
      </c>
    </row>
    <row r="115" spans="1:5" x14ac:dyDescent="0.3">
      <c r="A115" s="2">
        <v>44763</v>
      </c>
      <c r="B115">
        <v>5</v>
      </c>
      <c r="C115">
        <v>7</v>
      </c>
      <c r="D115">
        <v>2022</v>
      </c>
      <c r="E115">
        <v>1</v>
      </c>
    </row>
    <row r="116" spans="1:5" x14ac:dyDescent="0.3">
      <c r="A116" s="2">
        <v>44763</v>
      </c>
      <c r="B116">
        <v>5</v>
      </c>
      <c r="C116">
        <v>7</v>
      </c>
      <c r="D116">
        <v>2022</v>
      </c>
      <c r="E116">
        <v>2</v>
      </c>
    </row>
    <row r="117" spans="1:5" x14ac:dyDescent="0.3">
      <c r="A117" s="2">
        <v>44763</v>
      </c>
      <c r="B117">
        <v>5</v>
      </c>
      <c r="C117">
        <v>7</v>
      </c>
      <c r="D117">
        <v>2022</v>
      </c>
      <c r="E117">
        <v>1</v>
      </c>
    </row>
    <row r="118" spans="1:5" x14ac:dyDescent="0.3">
      <c r="A118" s="2">
        <v>44764</v>
      </c>
      <c r="B118">
        <v>6</v>
      </c>
      <c r="C118">
        <v>7</v>
      </c>
      <c r="D118">
        <v>2022</v>
      </c>
      <c r="E118">
        <v>3</v>
      </c>
    </row>
    <row r="119" spans="1:5" x14ac:dyDescent="0.3">
      <c r="A119" s="2">
        <v>44764</v>
      </c>
      <c r="B119">
        <v>6</v>
      </c>
      <c r="C119">
        <v>7</v>
      </c>
      <c r="D119">
        <v>2022</v>
      </c>
      <c r="E119">
        <v>3</v>
      </c>
    </row>
    <row r="120" spans="1:5" x14ac:dyDescent="0.3">
      <c r="A120" s="2">
        <v>44764</v>
      </c>
      <c r="B120">
        <v>6</v>
      </c>
      <c r="C120">
        <v>7</v>
      </c>
      <c r="D120">
        <v>2022</v>
      </c>
      <c r="E120">
        <v>1</v>
      </c>
    </row>
    <row r="121" spans="1:5" x14ac:dyDescent="0.3">
      <c r="A121" s="2">
        <v>44764</v>
      </c>
      <c r="B121">
        <v>6</v>
      </c>
      <c r="C121">
        <v>7</v>
      </c>
      <c r="D121">
        <v>2022</v>
      </c>
      <c r="E121">
        <v>1</v>
      </c>
    </row>
    <row r="122" spans="1:5" x14ac:dyDescent="0.3">
      <c r="A122" s="2">
        <v>44765</v>
      </c>
      <c r="B122">
        <v>7</v>
      </c>
      <c r="C122">
        <v>7</v>
      </c>
      <c r="D122">
        <v>2022</v>
      </c>
      <c r="E122">
        <v>1</v>
      </c>
    </row>
    <row r="123" spans="1:5" x14ac:dyDescent="0.3">
      <c r="A123" s="2">
        <v>44766</v>
      </c>
      <c r="B123">
        <v>1</v>
      </c>
      <c r="C123">
        <v>7</v>
      </c>
      <c r="D123">
        <v>2022</v>
      </c>
      <c r="E123">
        <v>3</v>
      </c>
    </row>
    <row r="124" spans="1:5" x14ac:dyDescent="0.3">
      <c r="A124" s="2">
        <v>44766</v>
      </c>
      <c r="B124">
        <v>1</v>
      </c>
      <c r="C124">
        <v>7</v>
      </c>
      <c r="D124">
        <v>2022</v>
      </c>
      <c r="E124">
        <v>1</v>
      </c>
    </row>
    <row r="125" spans="1:5" x14ac:dyDescent="0.3">
      <c r="A125" s="2">
        <v>44766</v>
      </c>
      <c r="B125">
        <v>1</v>
      </c>
      <c r="C125">
        <v>7</v>
      </c>
      <c r="D125">
        <v>2022</v>
      </c>
      <c r="E125">
        <v>1</v>
      </c>
    </row>
    <row r="126" spans="1:5" x14ac:dyDescent="0.3">
      <c r="A126" s="2">
        <v>44767</v>
      </c>
      <c r="B126">
        <v>2</v>
      </c>
      <c r="C126">
        <v>7</v>
      </c>
      <c r="D126">
        <v>2022</v>
      </c>
      <c r="E126">
        <v>2</v>
      </c>
    </row>
    <row r="127" spans="1:5" x14ac:dyDescent="0.3">
      <c r="A127" s="2">
        <v>44767</v>
      </c>
      <c r="B127">
        <v>2</v>
      </c>
      <c r="C127">
        <v>7</v>
      </c>
      <c r="D127">
        <v>2022</v>
      </c>
      <c r="E127">
        <v>2</v>
      </c>
    </row>
    <row r="128" spans="1:5" x14ac:dyDescent="0.3">
      <c r="A128" s="2">
        <v>44768</v>
      </c>
      <c r="B128">
        <v>3</v>
      </c>
      <c r="C128">
        <v>7</v>
      </c>
      <c r="D128">
        <v>2022</v>
      </c>
      <c r="E128">
        <v>1</v>
      </c>
    </row>
    <row r="129" spans="1:5" x14ac:dyDescent="0.3">
      <c r="A129" s="2">
        <v>44768</v>
      </c>
      <c r="B129">
        <v>3</v>
      </c>
      <c r="C129">
        <v>7</v>
      </c>
      <c r="D129">
        <v>2022</v>
      </c>
      <c r="E129">
        <v>1</v>
      </c>
    </row>
    <row r="130" spans="1:5" x14ac:dyDescent="0.3">
      <c r="A130" s="2">
        <v>44769</v>
      </c>
      <c r="B130">
        <v>4</v>
      </c>
      <c r="C130">
        <v>7</v>
      </c>
      <c r="D130">
        <v>2022</v>
      </c>
      <c r="E130">
        <v>1</v>
      </c>
    </row>
    <row r="131" spans="1:5" x14ac:dyDescent="0.3">
      <c r="A131" s="2">
        <v>44769</v>
      </c>
      <c r="B131">
        <v>4</v>
      </c>
      <c r="C131">
        <v>7</v>
      </c>
      <c r="D131">
        <v>2022</v>
      </c>
      <c r="E131">
        <v>4</v>
      </c>
    </row>
    <row r="132" spans="1:5" x14ac:dyDescent="0.3">
      <c r="A132" s="2">
        <v>44770</v>
      </c>
      <c r="B132">
        <v>5</v>
      </c>
      <c r="C132">
        <v>7</v>
      </c>
      <c r="D132">
        <v>2022</v>
      </c>
      <c r="E132">
        <v>1</v>
      </c>
    </row>
    <row r="133" spans="1:5" x14ac:dyDescent="0.3">
      <c r="A133" s="2">
        <v>44770</v>
      </c>
      <c r="B133">
        <v>5</v>
      </c>
      <c r="C133">
        <v>7</v>
      </c>
      <c r="D133">
        <v>2022</v>
      </c>
      <c r="E133">
        <v>1</v>
      </c>
    </row>
    <row r="134" spans="1:5" x14ac:dyDescent="0.3">
      <c r="A134" s="2">
        <v>44770</v>
      </c>
      <c r="B134">
        <v>5</v>
      </c>
      <c r="C134">
        <v>7</v>
      </c>
      <c r="D134">
        <v>2022</v>
      </c>
      <c r="E134">
        <v>1</v>
      </c>
    </row>
    <row r="135" spans="1:5" x14ac:dyDescent="0.3">
      <c r="A135" s="2">
        <v>44770</v>
      </c>
      <c r="B135">
        <v>5</v>
      </c>
      <c r="C135">
        <v>7</v>
      </c>
      <c r="D135">
        <v>2022</v>
      </c>
      <c r="E135">
        <v>1</v>
      </c>
    </row>
    <row r="136" spans="1:5" x14ac:dyDescent="0.3">
      <c r="A136" s="2">
        <v>44770</v>
      </c>
      <c r="B136">
        <v>5</v>
      </c>
      <c r="C136">
        <v>7</v>
      </c>
      <c r="D136">
        <v>2022</v>
      </c>
      <c r="E136">
        <v>2</v>
      </c>
    </row>
    <row r="137" spans="1:5" x14ac:dyDescent="0.3">
      <c r="A137" s="2">
        <v>44770</v>
      </c>
      <c r="B137">
        <v>5</v>
      </c>
      <c r="C137">
        <v>7</v>
      </c>
      <c r="D137">
        <v>2022</v>
      </c>
      <c r="E137">
        <v>2</v>
      </c>
    </row>
    <row r="138" spans="1:5" x14ac:dyDescent="0.3">
      <c r="A138" s="2">
        <v>44771</v>
      </c>
      <c r="B138">
        <v>6</v>
      </c>
      <c r="C138">
        <v>7</v>
      </c>
      <c r="D138">
        <v>2022</v>
      </c>
      <c r="E138">
        <v>1</v>
      </c>
    </row>
    <row r="139" spans="1:5" x14ac:dyDescent="0.3">
      <c r="A139" s="2">
        <v>44771</v>
      </c>
      <c r="B139">
        <v>6</v>
      </c>
      <c r="C139">
        <v>7</v>
      </c>
      <c r="D139">
        <v>2022</v>
      </c>
      <c r="E139">
        <v>1</v>
      </c>
    </row>
    <row r="140" spans="1:5" x14ac:dyDescent="0.3">
      <c r="A140" s="2">
        <v>44771</v>
      </c>
      <c r="B140">
        <v>6</v>
      </c>
      <c r="C140">
        <v>7</v>
      </c>
      <c r="D140">
        <v>2022</v>
      </c>
      <c r="E140">
        <v>2</v>
      </c>
    </row>
    <row r="141" spans="1:5" x14ac:dyDescent="0.3">
      <c r="A141" s="2">
        <v>44771</v>
      </c>
      <c r="B141">
        <v>6</v>
      </c>
      <c r="C141">
        <v>7</v>
      </c>
      <c r="D141">
        <v>2022</v>
      </c>
      <c r="E141">
        <v>1</v>
      </c>
    </row>
    <row r="142" spans="1:5" x14ac:dyDescent="0.3">
      <c r="A142" s="2">
        <v>44771</v>
      </c>
      <c r="B142">
        <v>6</v>
      </c>
      <c r="C142">
        <v>7</v>
      </c>
      <c r="D142">
        <v>2022</v>
      </c>
      <c r="E142">
        <v>1</v>
      </c>
    </row>
    <row r="143" spans="1:5" x14ac:dyDescent="0.3">
      <c r="A143" s="2">
        <v>44771</v>
      </c>
      <c r="B143">
        <v>6</v>
      </c>
      <c r="C143">
        <v>7</v>
      </c>
      <c r="D143">
        <v>2022</v>
      </c>
      <c r="E143">
        <v>1</v>
      </c>
    </row>
    <row r="144" spans="1:5" x14ac:dyDescent="0.3">
      <c r="A144" s="2">
        <v>44771</v>
      </c>
      <c r="B144">
        <v>6</v>
      </c>
      <c r="C144">
        <v>7</v>
      </c>
      <c r="D144">
        <v>2022</v>
      </c>
      <c r="E144">
        <v>1</v>
      </c>
    </row>
    <row r="145" spans="1:5" x14ac:dyDescent="0.3">
      <c r="A145" s="2">
        <v>44772</v>
      </c>
      <c r="B145">
        <v>7</v>
      </c>
      <c r="C145">
        <v>7</v>
      </c>
      <c r="D145">
        <v>2022</v>
      </c>
      <c r="E145">
        <v>1</v>
      </c>
    </row>
    <row r="146" spans="1:5" x14ac:dyDescent="0.3">
      <c r="A146" s="2">
        <v>44772</v>
      </c>
      <c r="B146">
        <v>7</v>
      </c>
      <c r="C146">
        <v>7</v>
      </c>
      <c r="D146">
        <v>2022</v>
      </c>
      <c r="E146">
        <v>1</v>
      </c>
    </row>
    <row r="147" spans="1:5" x14ac:dyDescent="0.3">
      <c r="A147" s="2">
        <v>44772</v>
      </c>
      <c r="B147">
        <v>7</v>
      </c>
      <c r="C147">
        <v>7</v>
      </c>
      <c r="D147">
        <v>2022</v>
      </c>
      <c r="E147">
        <v>1</v>
      </c>
    </row>
    <row r="148" spans="1:5" x14ac:dyDescent="0.3">
      <c r="A148" s="2">
        <v>44772</v>
      </c>
      <c r="B148">
        <v>7</v>
      </c>
      <c r="C148">
        <v>7</v>
      </c>
      <c r="D148">
        <v>2022</v>
      </c>
      <c r="E148">
        <v>1</v>
      </c>
    </row>
    <row r="149" spans="1:5" x14ac:dyDescent="0.3">
      <c r="A149" s="2">
        <v>44772</v>
      </c>
      <c r="B149">
        <v>7</v>
      </c>
      <c r="C149">
        <v>7</v>
      </c>
      <c r="D149">
        <v>2022</v>
      </c>
      <c r="E149">
        <v>1</v>
      </c>
    </row>
    <row r="150" spans="1:5" x14ac:dyDescent="0.3">
      <c r="A150" s="2">
        <v>44772</v>
      </c>
      <c r="B150">
        <v>7</v>
      </c>
      <c r="C150">
        <v>7</v>
      </c>
      <c r="D150">
        <v>2022</v>
      </c>
      <c r="E150">
        <v>1</v>
      </c>
    </row>
    <row r="151" spans="1:5" x14ac:dyDescent="0.3">
      <c r="A151" s="2">
        <v>44772</v>
      </c>
      <c r="B151">
        <v>7</v>
      </c>
      <c r="C151">
        <v>7</v>
      </c>
      <c r="D151">
        <v>2022</v>
      </c>
      <c r="E151">
        <v>1</v>
      </c>
    </row>
    <row r="152" spans="1:5" x14ac:dyDescent="0.3">
      <c r="A152" s="2">
        <v>44772</v>
      </c>
      <c r="B152">
        <v>7</v>
      </c>
      <c r="C152">
        <v>7</v>
      </c>
      <c r="D152">
        <v>2022</v>
      </c>
      <c r="E152">
        <v>1</v>
      </c>
    </row>
    <row r="153" spans="1:5" x14ac:dyDescent="0.3">
      <c r="A153" s="2">
        <v>44774</v>
      </c>
      <c r="B153">
        <v>2</v>
      </c>
      <c r="C153">
        <v>8</v>
      </c>
      <c r="D153">
        <v>2022</v>
      </c>
      <c r="E153">
        <v>1</v>
      </c>
    </row>
    <row r="154" spans="1:5" x14ac:dyDescent="0.3">
      <c r="A154" s="2">
        <v>44774</v>
      </c>
      <c r="B154">
        <v>2</v>
      </c>
      <c r="C154">
        <v>8</v>
      </c>
      <c r="D154">
        <v>2022</v>
      </c>
      <c r="E154">
        <v>2</v>
      </c>
    </row>
    <row r="155" spans="1:5" x14ac:dyDescent="0.3">
      <c r="A155" s="2">
        <v>44774</v>
      </c>
      <c r="B155">
        <v>2</v>
      </c>
      <c r="C155">
        <v>8</v>
      </c>
      <c r="D155">
        <v>2022</v>
      </c>
      <c r="E155">
        <v>1</v>
      </c>
    </row>
    <row r="156" spans="1:5" x14ac:dyDescent="0.3">
      <c r="A156" s="2">
        <v>44774</v>
      </c>
      <c r="B156">
        <v>2</v>
      </c>
      <c r="C156">
        <v>8</v>
      </c>
      <c r="D156">
        <v>2022</v>
      </c>
      <c r="E156">
        <v>1</v>
      </c>
    </row>
    <row r="157" spans="1:5" x14ac:dyDescent="0.3">
      <c r="A157" s="2">
        <v>44774</v>
      </c>
      <c r="B157">
        <v>2</v>
      </c>
      <c r="C157">
        <v>8</v>
      </c>
      <c r="D157">
        <v>2022</v>
      </c>
      <c r="E157">
        <v>2</v>
      </c>
    </row>
    <row r="158" spans="1:5" x14ac:dyDescent="0.3">
      <c r="A158" s="2">
        <v>44774</v>
      </c>
      <c r="B158">
        <v>2</v>
      </c>
      <c r="C158">
        <v>8</v>
      </c>
      <c r="D158">
        <v>2022</v>
      </c>
      <c r="E158">
        <v>1</v>
      </c>
    </row>
    <row r="159" spans="1:5" x14ac:dyDescent="0.3">
      <c r="A159" s="2">
        <v>44774</v>
      </c>
      <c r="B159">
        <v>2</v>
      </c>
      <c r="C159">
        <v>8</v>
      </c>
      <c r="D159">
        <v>2022</v>
      </c>
      <c r="E159">
        <v>3</v>
      </c>
    </row>
    <row r="160" spans="1:5" x14ac:dyDescent="0.3">
      <c r="A160" s="2">
        <v>44775</v>
      </c>
      <c r="B160">
        <v>3</v>
      </c>
      <c r="C160">
        <v>8</v>
      </c>
      <c r="D160">
        <v>2022</v>
      </c>
      <c r="E160">
        <v>1</v>
      </c>
    </row>
    <row r="161" spans="1:5" x14ac:dyDescent="0.3">
      <c r="A161" s="2">
        <v>44775</v>
      </c>
      <c r="B161">
        <v>3</v>
      </c>
      <c r="C161">
        <v>8</v>
      </c>
      <c r="D161">
        <v>2022</v>
      </c>
      <c r="E161">
        <v>1</v>
      </c>
    </row>
    <row r="162" spans="1:5" x14ac:dyDescent="0.3">
      <c r="A162" s="2">
        <v>44775</v>
      </c>
      <c r="B162">
        <v>3</v>
      </c>
      <c r="C162">
        <v>8</v>
      </c>
      <c r="D162">
        <v>2022</v>
      </c>
      <c r="E162">
        <v>1</v>
      </c>
    </row>
    <row r="163" spans="1:5" x14ac:dyDescent="0.3">
      <c r="A163" s="2">
        <v>44775</v>
      </c>
      <c r="B163">
        <v>3</v>
      </c>
      <c r="C163">
        <v>8</v>
      </c>
      <c r="D163">
        <v>2022</v>
      </c>
      <c r="E163">
        <v>1</v>
      </c>
    </row>
    <row r="164" spans="1:5" x14ac:dyDescent="0.3">
      <c r="A164" s="2">
        <v>44775</v>
      </c>
      <c r="B164">
        <v>3</v>
      </c>
      <c r="C164">
        <v>8</v>
      </c>
      <c r="D164">
        <v>2022</v>
      </c>
      <c r="E164">
        <v>1</v>
      </c>
    </row>
    <row r="165" spans="1:5" x14ac:dyDescent="0.3">
      <c r="A165" s="2">
        <v>44775</v>
      </c>
      <c r="B165">
        <v>3</v>
      </c>
      <c r="C165">
        <v>8</v>
      </c>
      <c r="D165">
        <v>2022</v>
      </c>
      <c r="E165">
        <v>1</v>
      </c>
    </row>
    <row r="166" spans="1:5" x14ac:dyDescent="0.3">
      <c r="A166" s="2">
        <v>44775</v>
      </c>
      <c r="B166">
        <v>3</v>
      </c>
      <c r="C166">
        <v>8</v>
      </c>
      <c r="D166">
        <v>2022</v>
      </c>
      <c r="E166">
        <v>3</v>
      </c>
    </row>
    <row r="167" spans="1:5" x14ac:dyDescent="0.3">
      <c r="A167" s="2">
        <v>44775</v>
      </c>
      <c r="B167">
        <v>3</v>
      </c>
      <c r="C167">
        <v>8</v>
      </c>
      <c r="D167">
        <v>2022</v>
      </c>
      <c r="E167">
        <v>1</v>
      </c>
    </row>
    <row r="168" spans="1:5" x14ac:dyDescent="0.3">
      <c r="A168" s="2">
        <v>44775</v>
      </c>
      <c r="B168">
        <v>3</v>
      </c>
      <c r="C168">
        <v>8</v>
      </c>
      <c r="D168">
        <v>2022</v>
      </c>
      <c r="E168">
        <v>2</v>
      </c>
    </row>
    <row r="169" spans="1:5" x14ac:dyDescent="0.3">
      <c r="A169" s="2">
        <v>44776</v>
      </c>
      <c r="B169">
        <v>4</v>
      </c>
      <c r="C169">
        <v>8</v>
      </c>
      <c r="D169">
        <v>2022</v>
      </c>
      <c r="E169">
        <v>2</v>
      </c>
    </row>
    <row r="170" spans="1:5" x14ac:dyDescent="0.3">
      <c r="A170" s="2">
        <v>44776</v>
      </c>
      <c r="B170">
        <v>4</v>
      </c>
      <c r="C170">
        <v>8</v>
      </c>
      <c r="D170">
        <v>2022</v>
      </c>
      <c r="E170">
        <v>1</v>
      </c>
    </row>
    <row r="171" spans="1:5" x14ac:dyDescent="0.3">
      <c r="A171" s="2">
        <v>44776</v>
      </c>
      <c r="B171">
        <v>4</v>
      </c>
      <c r="C171">
        <v>8</v>
      </c>
      <c r="D171">
        <v>2022</v>
      </c>
      <c r="E171">
        <v>1</v>
      </c>
    </row>
    <row r="172" spans="1:5" x14ac:dyDescent="0.3">
      <c r="A172" s="2">
        <v>44776</v>
      </c>
      <c r="B172">
        <v>4</v>
      </c>
      <c r="C172">
        <v>8</v>
      </c>
      <c r="D172">
        <v>2022</v>
      </c>
      <c r="E172">
        <v>1</v>
      </c>
    </row>
    <row r="173" spans="1:5" x14ac:dyDescent="0.3">
      <c r="A173" s="2">
        <v>44776</v>
      </c>
      <c r="B173">
        <v>4</v>
      </c>
      <c r="C173">
        <v>8</v>
      </c>
      <c r="D173">
        <v>2022</v>
      </c>
      <c r="E173">
        <v>1</v>
      </c>
    </row>
    <row r="174" spans="1:5" x14ac:dyDescent="0.3">
      <c r="A174" s="2">
        <v>44776</v>
      </c>
      <c r="B174">
        <v>4</v>
      </c>
      <c r="C174">
        <v>8</v>
      </c>
      <c r="D174">
        <v>2022</v>
      </c>
      <c r="E174">
        <v>1</v>
      </c>
    </row>
    <row r="175" spans="1:5" x14ac:dyDescent="0.3">
      <c r="A175" s="2">
        <v>44776</v>
      </c>
      <c r="B175">
        <v>4</v>
      </c>
      <c r="C175">
        <v>8</v>
      </c>
      <c r="D175">
        <v>2022</v>
      </c>
      <c r="E175">
        <v>2</v>
      </c>
    </row>
    <row r="176" spans="1:5" x14ac:dyDescent="0.3">
      <c r="A176" s="2">
        <v>44776</v>
      </c>
      <c r="B176">
        <v>4</v>
      </c>
      <c r="C176">
        <v>8</v>
      </c>
      <c r="D176">
        <v>2022</v>
      </c>
      <c r="E176">
        <v>3</v>
      </c>
    </row>
    <row r="177" spans="1:5" x14ac:dyDescent="0.3">
      <c r="A177" s="2">
        <v>44777</v>
      </c>
      <c r="B177">
        <v>5</v>
      </c>
      <c r="C177">
        <v>8</v>
      </c>
      <c r="D177">
        <v>2022</v>
      </c>
      <c r="E177">
        <v>1</v>
      </c>
    </row>
    <row r="178" spans="1:5" x14ac:dyDescent="0.3">
      <c r="A178" s="2">
        <v>44777</v>
      </c>
      <c r="B178">
        <v>5</v>
      </c>
      <c r="C178">
        <v>8</v>
      </c>
      <c r="D178">
        <v>2022</v>
      </c>
      <c r="E178">
        <v>1</v>
      </c>
    </row>
    <row r="179" spans="1:5" x14ac:dyDescent="0.3">
      <c r="A179" s="2">
        <v>44777</v>
      </c>
      <c r="B179">
        <v>5</v>
      </c>
      <c r="C179">
        <v>8</v>
      </c>
      <c r="D179">
        <v>2022</v>
      </c>
      <c r="E179">
        <v>1</v>
      </c>
    </row>
    <row r="180" spans="1:5" x14ac:dyDescent="0.3">
      <c r="A180" s="2">
        <v>44777</v>
      </c>
      <c r="B180">
        <v>5</v>
      </c>
      <c r="C180">
        <v>8</v>
      </c>
      <c r="D180">
        <v>2022</v>
      </c>
      <c r="E180">
        <v>2</v>
      </c>
    </row>
    <row r="181" spans="1:5" x14ac:dyDescent="0.3">
      <c r="A181" s="2">
        <v>44777</v>
      </c>
      <c r="B181">
        <v>5</v>
      </c>
      <c r="C181">
        <v>8</v>
      </c>
      <c r="D181">
        <v>2022</v>
      </c>
      <c r="E181">
        <v>1</v>
      </c>
    </row>
    <row r="182" spans="1:5" x14ac:dyDescent="0.3">
      <c r="A182" s="2">
        <v>44777</v>
      </c>
      <c r="B182">
        <v>5</v>
      </c>
      <c r="C182">
        <v>8</v>
      </c>
      <c r="D182">
        <v>2022</v>
      </c>
      <c r="E182">
        <v>2</v>
      </c>
    </row>
    <row r="183" spans="1:5" x14ac:dyDescent="0.3">
      <c r="A183" s="2">
        <v>44777</v>
      </c>
      <c r="B183">
        <v>5</v>
      </c>
      <c r="C183">
        <v>8</v>
      </c>
      <c r="D183">
        <v>2022</v>
      </c>
      <c r="E183">
        <v>1</v>
      </c>
    </row>
    <row r="184" spans="1:5" x14ac:dyDescent="0.3">
      <c r="A184" s="2">
        <v>44777</v>
      </c>
      <c r="B184">
        <v>5</v>
      </c>
      <c r="C184">
        <v>8</v>
      </c>
      <c r="D184">
        <v>2022</v>
      </c>
      <c r="E184">
        <v>1</v>
      </c>
    </row>
    <row r="185" spans="1:5" x14ac:dyDescent="0.3">
      <c r="A185" s="2">
        <v>44778</v>
      </c>
      <c r="B185">
        <v>6</v>
      </c>
      <c r="C185">
        <v>8</v>
      </c>
      <c r="D185">
        <v>2022</v>
      </c>
      <c r="E185">
        <v>3</v>
      </c>
    </row>
    <row r="186" spans="1:5" x14ac:dyDescent="0.3">
      <c r="A186" s="2">
        <v>44778</v>
      </c>
      <c r="B186">
        <v>6</v>
      </c>
      <c r="C186">
        <v>8</v>
      </c>
      <c r="D186">
        <v>2022</v>
      </c>
      <c r="E186">
        <v>1</v>
      </c>
    </row>
    <row r="187" spans="1:5" x14ac:dyDescent="0.3">
      <c r="A187" s="2">
        <v>44778</v>
      </c>
      <c r="B187">
        <v>6</v>
      </c>
      <c r="C187">
        <v>8</v>
      </c>
      <c r="D187">
        <v>2022</v>
      </c>
      <c r="E187">
        <v>1</v>
      </c>
    </row>
    <row r="188" spans="1:5" x14ac:dyDescent="0.3">
      <c r="A188" s="2">
        <v>44778</v>
      </c>
      <c r="B188">
        <v>6</v>
      </c>
      <c r="C188">
        <v>8</v>
      </c>
      <c r="D188">
        <v>2022</v>
      </c>
      <c r="E188">
        <v>1</v>
      </c>
    </row>
    <row r="189" spans="1:5" x14ac:dyDescent="0.3">
      <c r="A189" s="2">
        <v>44778</v>
      </c>
      <c r="B189">
        <v>6</v>
      </c>
      <c r="C189">
        <v>8</v>
      </c>
      <c r="D189">
        <v>2022</v>
      </c>
      <c r="E189">
        <v>1</v>
      </c>
    </row>
    <row r="190" spans="1:5" x14ac:dyDescent="0.3">
      <c r="A190" s="2">
        <v>44778</v>
      </c>
      <c r="B190">
        <v>6</v>
      </c>
      <c r="C190">
        <v>8</v>
      </c>
      <c r="D190">
        <v>2022</v>
      </c>
      <c r="E190">
        <v>1</v>
      </c>
    </row>
    <row r="191" spans="1:5" x14ac:dyDescent="0.3">
      <c r="A191" s="2">
        <v>44778</v>
      </c>
      <c r="B191">
        <v>6</v>
      </c>
      <c r="C191">
        <v>8</v>
      </c>
      <c r="D191">
        <v>2022</v>
      </c>
      <c r="E191">
        <v>3</v>
      </c>
    </row>
    <row r="192" spans="1:5" x14ac:dyDescent="0.3">
      <c r="A192" s="2">
        <v>44779</v>
      </c>
      <c r="B192">
        <v>7</v>
      </c>
      <c r="C192">
        <v>8</v>
      </c>
      <c r="D192">
        <v>2022</v>
      </c>
      <c r="E192">
        <v>1</v>
      </c>
    </row>
    <row r="193" spans="1:5" x14ac:dyDescent="0.3">
      <c r="A193" s="2">
        <v>44779</v>
      </c>
      <c r="B193">
        <v>7</v>
      </c>
      <c r="C193">
        <v>8</v>
      </c>
      <c r="D193">
        <v>2022</v>
      </c>
      <c r="E193">
        <v>2</v>
      </c>
    </row>
    <row r="194" spans="1:5" x14ac:dyDescent="0.3">
      <c r="A194" s="2">
        <v>44779</v>
      </c>
      <c r="B194">
        <v>7</v>
      </c>
      <c r="C194">
        <v>8</v>
      </c>
      <c r="D194">
        <v>2022</v>
      </c>
      <c r="E194">
        <v>2</v>
      </c>
    </row>
    <row r="195" spans="1:5" x14ac:dyDescent="0.3">
      <c r="A195" s="2">
        <v>44779</v>
      </c>
      <c r="B195">
        <v>7</v>
      </c>
      <c r="C195">
        <v>8</v>
      </c>
      <c r="D195">
        <v>2022</v>
      </c>
      <c r="E195">
        <v>2</v>
      </c>
    </row>
    <row r="196" spans="1:5" x14ac:dyDescent="0.3">
      <c r="A196" s="2">
        <v>44779</v>
      </c>
      <c r="B196">
        <v>7</v>
      </c>
      <c r="C196">
        <v>8</v>
      </c>
      <c r="D196">
        <v>2022</v>
      </c>
      <c r="E196">
        <v>1</v>
      </c>
    </row>
    <row r="197" spans="1:5" x14ac:dyDescent="0.3">
      <c r="A197" s="2">
        <v>44779</v>
      </c>
      <c r="B197">
        <v>7</v>
      </c>
      <c r="C197">
        <v>8</v>
      </c>
      <c r="D197">
        <v>2022</v>
      </c>
      <c r="E197">
        <v>1</v>
      </c>
    </row>
    <row r="198" spans="1:5" x14ac:dyDescent="0.3">
      <c r="A198" s="2">
        <v>44779</v>
      </c>
      <c r="B198">
        <v>7</v>
      </c>
      <c r="C198">
        <v>8</v>
      </c>
      <c r="D198">
        <v>2022</v>
      </c>
      <c r="E198">
        <v>1</v>
      </c>
    </row>
    <row r="199" spans="1:5" x14ac:dyDescent="0.3">
      <c r="A199" s="2">
        <v>44779</v>
      </c>
      <c r="B199">
        <v>7</v>
      </c>
      <c r="C199">
        <v>8</v>
      </c>
      <c r="D199">
        <v>2022</v>
      </c>
      <c r="E199">
        <v>1</v>
      </c>
    </row>
    <row r="200" spans="1:5" x14ac:dyDescent="0.3">
      <c r="A200" s="2">
        <v>44780</v>
      </c>
      <c r="B200">
        <v>1</v>
      </c>
      <c r="C200">
        <v>8</v>
      </c>
      <c r="D200">
        <v>2022</v>
      </c>
      <c r="E200">
        <v>1</v>
      </c>
    </row>
    <row r="201" spans="1:5" x14ac:dyDescent="0.3">
      <c r="A201" s="2">
        <v>44780</v>
      </c>
      <c r="B201">
        <v>1</v>
      </c>
      <c r="C201">
        <v>8</v>
      </c>
      <c r="D201">
        <v>2022</v>
      </c>
      <c r="E201">
        <v>4</v>
      </c>
    </row>
    <row r="202" spans="1:5" x14ac:dyDescent="0.3">
      <c r="A202" s="2">
        <v>44780</v>
      </c>
      <c r="B202">
        <v>1</v>
      </c>
      <c r="C202">
        <v>8</v>
      </c>
      <c r="D202">
        <v>2022</v>
      </c>
      <c r="E202">
        <v>1</v>
      </c>
    </row>
    <row r="203" spans="1:5" x14ac:dyDescent="0.3">
      <c r="A203" s="2">
        <v>44780</v>
      </c>
      <c r="B203">
        <v>1</v>
      </c>
      <c r="C203">
        <v>8</v>
      </c>
      <c r="D203">
        <v>2022</v>
      </c>
      <c r="E203">
        <v>1</v>
      </c>
    </row>
    <row r="204" spans="1:5" x14ac:dyDescent="0.3">
      <c r="A204" s="2">
        <v>44780</v>
      </c>
      <c r="B204">
        <v>1</v>
      </c>
      <c r="C204">
        <v>8</v>
      </c>
      <c r="D204">
        <v>2022</v>
      </c>
      <c r="E204">
        <v>1</v>
      </c>
    </row>
    <row r="205" spans="1:5" x14ac:dyDescent="0.3">
      <c r="A205" s="2">
        <v>44780</v>
      </c>
      <c r="B205">
        <v>1</v>
      </c>
      <c r="C205">
        <v>8</v>
      </c>
      <c r="D205">
        <v>2022</v>
      </c>
      <c r="E205">
        <v>1</v>
      </c>
    </row>
    <row r="206" spans="1:5" x14ac:dyDescent="0.3">
      <c r="A206" s="2">
        <v>44780</v>
      </c>
      <c r="B206">
        <v>1</v>
      </c>
      <c r="C206">
        <v>8</v>
      </c>
      <c r="D206">
        <v>2022</v>
      </c>
      <c r="E206">
        <v>2</v>
      </c>
    </row>
    <row r="207" spans="1:5" x14ac:dyDescent="0.3">
      <c r="A207" s="2">
        <v>44780</v>
      </c>
      <c r="B207">
        <v>1</v>
      </c>
      <c r="C207">
        <v>8</v>
      </c>
      <c r="D207">
        <v>2022</v>
      </c>
      <c r="E207">
        <v>1</v>
      </c>
    </row>
    <row r="208" spans="1:5" x14ac:dyDescent="0.3">
      <c r="A208" s="2">
        <v>44780</v>
      </c>
      <c r="B208">
        <v>1</v>
      </c>
      <c r="C208">
        <v>8</v>
      </c>
      <c r="D208">
        <v>2022</v>
      </c>
      <c r="E208">
        <v>1</v>
      </c>
    </row>
    <row r="209" spans="1:5" x14ac:dyDescent="0.3">
      <c r="A209" s="2">
        <v>44780</v>
      </c>
      <c r="B209">
        <v>1</v>
      </c>
      <c r="C209">
        <v>8</v>
      </c>
      <c r="D209">
        <v>2022</v>
      </c>
      <c r="E209">
        <v>1</v>
      </c>
    </row>
    <row r="210" spans="1:5" x14ac:dyDescent="0.3">
      <c r="A210" s="2">
        <v>44781</v>
      </c>
      <c r="B210">
        <v>2</v>
      </c>
      <c r="C210">
        <v>8</v>
      </c>
      <c r="D210">
        <v>2022</v>
      </c>
      <c r="E210">
        <v>1</v>
      </c>
    </row>
    <row r="211" spans="1:5" x14ac:dyDescent="0.3">
      <c r="A211" s="2">
        <v>44781</v>
      </c>
      <c r="B211">
        <v>2</v>
      </c>
      <c r="C211">
        <v>8</v>
      </c>
      <c r="D211">
        <v>2022</v>
      </c>
      <c r="E211">
        <v>2</v>
      </c>
    </row>
    <row r="212" spans="1:5" x14ac:dyDescent="0.3">
      <c r="A212" s="2">
        <v>44781</v>
      </c>
      <c r="B212">
        <v>2</v>
      </c>
      <c r="C212">
        <v>8</v>
      </c>
      <c r="D212">
        <v>2022</v>
      </c>
      <c r="E212">
        <v>2</v>
      </c>
    </row>
    <row r="213" spans="1:5" x14ac:dyDescent="0.3">
      <c r="A213" s="2">
        <v>44782</v>
      </c>
      <c r="B213">
        <v>3</v>
      </c>
      <c r="C213">
        <v>8</v>
      </c>
      <c r="D213">
        <v>2022</v>
      </c>
      <c r="E213">
        <v>1</v>
      </c>
    </row>
    <row r="214" spans="1:5" x14ac:dyDescent="0.3">
      <c r="A214" s="2">
        <v>44782</v>
      </c>
      <c r="B214">
        <v>3</v>
      </c>
      <c r="C214">
        <v>8</v>
      </c>
      <c r="D214">
        <v>2022</v>
      </c>
      <c r="E214">
        <v>2</v>
      </c>
    </row>
    <row r="215" spans="1:5" x14ac:dyDescent="0.3">
      <c r="A215" s="2">
        <v>44783</v>
      </c>
      <c r="B215">
        <v>4</v>
      </c>
      <c r="C215">
        <v>8</v>
      </c>
      <c r="D215">
        <v>2022</v>
      </c>
      <c r="E215">
        <v>1</v>
      </c>
    </row>
    <row r="216" spans="1:5" x14ac:dyDescent="0.3">
      <c r="A216" s="2">
        <v>44783</v>
      </c>
      <c r="B216">
        <v>4</v>
      </c>
      <c r="C216">
        <v>8</v>
      </c>
      <c r="D216">
        <v>2022</v>
      </c>
      <c r="E216">
        <v>2</v>
      </c>
    </row>
    <row r="217" spans="1:5" x14ac:dyDescent="0.3">
      <c r="A217" s="2">
        <v>44784</v>
      </c>
      <c r="B217">
        <v>5</v>
      </c>
      <c r="C217">
        <v>8</v>
      </c>
      <c r="D217">
        <v>2022</v>
      </c>
      <c r="E217">
        <v>1</v>
      </c>
    </row>
    <row r="218" spans="1:5" x14ac:dyDescent="0.3">
      <c r="A218" s="2">
        <v>44784</v>
      </c>
      <c r="B218">
        <v>5</v>
      </c>
      <c r="C218">
        <v>8</v>
      </c>
      <c r="D218">
        <v>2022</v>
      </c>
      <c r="E218">
        <v>1</v>
      </c>
    </row>
    <row r="219" spans="1:5" x14ac:dyDescent="0.3">
      <c r="A219" s="2">
        <v>44784</v>
      </c>
      <c r="B219">
        <v>5</v>
      </c>
      <c r="C219">
        <v>8</v>
      </c>
      <c r="D219">
        <v>2022</v>
      </c>
      <c r="E219">
        <v>1</v>
      </c>
    </row>
    <row r="220" spans="1:5" x14ac:dyDescent="0.3">
      <c r="A220" s="2">
        <v>44785</v>
      </c>
      <c r="B220">
        <v>6</v>
      </c>
      <c r="C220">
        <v>8</v>
      </c>
      <c r="D220">
        <v>2022</v>
      </c>
      <c r="E220">
        <v>1</v>
      </c>
    </row>
    <row r="221" spans="1:5" x14ac:dyDescent="0.3">
      <c r="A221" s="2">
        <v>44786</v>
      </c>
      <c r="B221">
        <v>7</v>
      </c>
      <c r="C221">
        <v>8</v>
      </c>
      <c r="D221">
        <v>2022</v>
      </c>
      <c r="E221">
        <v>2</v>
      </c>
    </row>
    <row r="222" spans="1:5" x14ac:dyDescent="0.3">
      <c r="A222" s="2">
        <v>44787</v>
      </c>
      <c r="B222">
        <v>1</v>
      </c>
      <c r="C222">
        <v>8</v>
      </c>
      <c r="D222">
        <v>2022</v>
      </c>
      <c r="E222">
        <v>1</v>
      </c>
    </row>
    <row r="223" spans="1:5" x14ac:dyDescent="0.3">
      <c r="A223" s="2">
        <v>44787</v>
      </c>
      <c r="B223">
        <v>1</v>
      </c>
      <c r="C223">
        <v>8</v>
      </c>
      <c r="D223">
        <v>2022</v>
      </c>
      <c r="E223">
        <v>1</v>
      </c>
    </row>
    <row r="224" spans="1:5" x14ac:dyDescent="0.3">
      <c r="A224" s="2">
        <v>44788</v>
      </c>
      <c r="B224">
        <v>2</v>
      </c>
      <c r="C224">
        <v>8</v>
      </c>
      <c r="D224">
        <v>2022</v>
      </c>
      <c r="E224">
        <v>2</v>
      </c>
    </row>
    <row r="225" spans="1:5" x14ac:dyDescent="0.3">
      <c r="A225" s="2">
        <v>44788</v>
      </c>
      <c r="B225">
        <v>2</v>
      </c>
      <c r="C225">
        <v>8</v>
      </c>
      <c r="D225">
        <v>2022</v>
      </c>
      <c r="E225">
        <v>2</v>
      </c>
    </row>
    <row r="226" spans="1:5" x14ac:dyDescent="0.3">
      <c r="A226" s="2">
        <v>44789</v>
      </c>
      <c r="B226">
        <v>3</v>
      </c>
      <c r="C226">
        <v>8</v>
      </c>
      <c r="D226">
        <v>2022</v>
      </c>
      <c r="E226">
        <v>1</v>
      </c>
    </row>
    <row r="227" spans="1:5" x14ac:dyDescent="0.3">
      <c r="A227" s="2">
        <v>44790</v>
      </c>
      <c r="B227">
        <v>4</v>
      </c>
      <c r="C227">
        <v>8</v>
      </c>
      <c r="D227">
        <v>2022</v>
      </c>
      <c r="E227">
        <v>2</v>
      </c>
    </row>
    <row r="228" spans="1:5" x14ac:dyDescent="0.3">
      <c r="A228" s="2">
        <v>44791</v>
      </c>
      <c r="B228">
        <v>5</v>
      </c>
      <c r="C228">
        <v>8</v>
      </c>
      <c r="D228">
        <v>2022</v>
      </c>
      <c r="E228">
        <v>1</v>
      </c>
    </row>
    <row r="229" spans="1:5" x14ac:dyDescent="0.3">
      <c r="A229" s="2">
        <v>44792</v>
      </c>
      <c r="B229">
        <v>6</v>
      </c>
      <c r="C229">
        <v>8</v>
      </c>
      <c r="D229">
        <v>2022</v>
      </c>
      <c r="E229">
        <v>1</v>
      </c>
    </row>
    <row r="230" spans="1:5" x14ac:dyDescent="0.3">
      <c r="A230" s="2">
        <v>44792</v>
      </c>
      <c r="B230">
        <v>6</v>
      </c>
      <c r="C230">
        <v>8</v>
      </c>
      <c r="D230">
        <v>2022</v>
      </c>
      <c r="E230">
        <v>1</v>
      </c>
    </row>
    <row r="231" spans="1:5" x14ac:dyDescent="0.3">
      <c r="A231" s="2">
        <v>44793</v>
      </c>
      <c r="B231">
        <v>7</v>
      </c>
      <c r="C231">
        <v>8</v>
      </c>
      <c r="D231">
        <v>2022</v>
      </c>
      <c r="E231">
        <v>1</v>
      </c>
    </row>
    <row r="232" spans="1:5" x14ac:dyDescent="0.3">
      <c r="A232" s="2">
        <v>44793</v>
      </c>
      <c r="B232">
        <v>7</v>
      </c>
      <c r="C232">
        <v>8</v>
      </c>
      <c r="D232">
        <v>2022</v>
      </c>
      <c r="E232">
        <v>1</v>
      </c>
    </row>
    <row r="233" spans="1:5" x14ac:dyDescent="0.3">
      <c r="A233" s="2">
        <v>44793</v>
      </c>
      <c r="B233">
        <v>7</v>
      </c>
      <c r="C233">
        <v>8</v>
      </c>
      <c r="D233">
        <v>2022</v>
      </c>
      <c r="E233">
        <v>2</v>
      </c>
    </row>
    <row r="234" spans="1:5" x14ac:dyDescent="0.3">
      <c r="A234" s="2">
        <v>44794</v>
      </c>
      <c r="B234">
        <v>1</v>
      </c>
      <c r="C234">
        <v>8</v>
      </c>
      <c r="D234">
        <v>2022</v>
      </c>
      <c r="E234">
        <v>1</v>
      </c>
    </row>
    <row r="235" spans="1:5" x14ac:dyDescent="0.3">
      <c r="A235" s="2">
        <v>44794</v>
      </c>
      <c r="B235">
        <v>1</v>
      </c>
      <c r="C235">
        <v>8</v>
      </c>
      <c r="D235">
        <v>2022</v>
      </c>
      <c r="E235">
        <v>2</v>
      </c>
    </row>
    <row r="236" spans="1:5" x14ac:dyDescent="0.3">
      <c r="A236" s="2">
        <v>44794</v>
      </c>
      <c r="B236">
        <v>1</v>
      </c>
      <c r="C236">
        <v>8</v>
      </c>
      <c r="D236">
        <v>2022</v>
      </c>
      <c r="E236">
        <v>2</v>
      </c>
    </row>
    <row r="237" spans="1:5" x14ac:dyDescent="0.3">
      <c r="A237" s="2">
        <v>44795</v>
      </c>
      <c r="B237">
        <v>2</v>
      </c>
      <c r="C237">
        <v>8</v>
      </c>
      <c r="D237">
        <v>2022</v>
      </c>
      <c r="E237">
        <v>1</v>
      </c>
    </row>
    <row r="238" spans="1:5" x14ac:dyDescent="0.3">
      <c r="A238" s="2">
        <v>44795</v>
      </c>
      <c r="B238">
        <v>2</v>
      </c>
      <c r="C238">
        <v>8</v>
      </c>
      <c r="D238">
        <v>2022</v>
      </c>
      <c r="E238">
        <v>1</v>
      </c>
    </row>
    <row r="239" spans="1:5" x14ac:dyDescent="0.3">
      <c r="A239" s="2">
        <v>44796</v>
      </c>
      <c r="B239">
        <v>3</v>
      </c>
      <c r="C239">
        <v>8</v>
      </c>
      <c r="D239">
        <v>2022</v>
      </c>
      <c r="E239">
        <v>1</v>
      </c>
    </row>
    <row r="240" spans="1:5" x14ac:dyDescent="0.3">
      <c r="A240" s="2">
        <v>44796</v>
      </c>
      <c r="B240">
        <v>3</v>
      </c>
      <c r="C240">
        <v>8</v>
      </c>
      <c r="D240">
        <v>2022</v>
      </c>
      <c r="E240">
        <v>2</v>
      </c>
    </row>
    <row r="241" spans="1:5" x14ac:dyDescent="0.3">
      <c r="A241" s="2">
        <v>44797</v>
      </c>
      <c r="B241">
        <v>4</v>
      </c>
      <c r="C241">
        <v>8</v>
      </c>
      <c r="D241">
        <v>2022</v>
      </c>
      <c r="E241">
        <v>1</v>
      </c>
    </row>
    <row r="242" spans="1:5" x14ac:dyDescent="0.3">
      <c r="A242" s="2">
        <v>44797</v>
      </c>
      <c r="B242">
        <v>4</v>
      </c>
      <c r="C242">
        <v>8</v>
      </c>
      <c r="D242">
        <v>2022</v>
      </c>
      <c r="E242">
        <v>2</v>
      </c>
    </row>
    <row r="243" spans="1:5" x14ac:dyDescent="0.3">
      <c r="A243" s="2">
        <v>44797</v>
      </c>
      <c r="B243">
        <v>4</v>
      </c>
      <c r="C243">
        <v>8</v>
      </c>
      <c r="D243">
        <v>2022</v>
      </c>
      <c r="E243">
        <v>2</v>
      </c>
    </row>
    <row r="244" spans="1:5" x14ac:dyDescent="0.3">
      <c r="A244" s="2">
        <v>44798</v>
      </c>
      <c r="B244">
        <v>5</v>
      </c>
      <c r="C244">
        <v>8</v>
      </c>
      <c r="D244">
        <v>2022</v>
      </c>
      <c r="E244">
        <v>1</v>
      </c>
    </row>
    <row r="245" spans="1:5" x14ac:dyDescent="0.3">
      <c r="A245" s="2">
        <v>44798</v>
      </c>
      <c r="B245">
        <v>5</v>
      </c>
      <c r="C245">
        <v>8</v>
      </c>
      <c r="D245">
        <v>2022</v>
      </c>
      <c r="E245">
        <v>1</v>
      </c>
    </row>
    <row r="246" spans="1:5" x14ac:dyDescent="0.3">
      <c r="A246" s="2">
        <v>44798</v>
      </c>
      <c r="B246">
        <v>5</v>
      </c>
      <c r="C246">
        <v>8</v>
      </c>
      <c r="D246">
        <v>2022</v>
      </c>
      <c r="E246">
        <v>1</v>
      </c>
    </row>
    <row r="247" spans="1:5" x14ac:dyDescent="0.3">
      <c r="A247" s="2">
        <v>44799</v>
      </c>
      <c r="B247">
        <v>6</v>
      </c>
      <c r="C247">
        <v>8</v>
      </c>
      <c r="D247">
        <v>2022</v>
      </c>
      <c r="E247">
        <v>1</v>
      </c>
    </row>
    <row r="248" spans="1:5" x14ac:dyDescent="0.3">
      <c r="A248" s="2">
        <v>44799</v>
      </c>
      <c r="B248">
        <v>6</v>
      </c>
      <c r="C248">
        <v>8</v>
      </c>
      <c r="D248">
        <v>2022</v>
      </c>
      <c r="E248">
        <v>1</v>
      </c>
    </row>
    <row r="249" spans="1:5" x14ac:dyDescent="0.3">
      <c r="A249" s="2">
        <v>44800</v>
      </c>
      <c r="B249">
        <v>7</v>
      </c>
      <c r="C249">
        <v>8</v>
      </c>
      <c r="D249">
        <v>2022</v>
      </c>
      <c r="E249">
        <v>1</v>
      </c>
    </row>
    <row r="250" spans="1:5" x14ac:dyDescent="0.3">
      <c r="A250" s="2">
        <v>44800</v>
      </c>
      <c r="B250">
        <v>7</v>
      </c>
      <c r="C250">
        <v>8</v>
      </c>
      <c r="D250">
        <v>2022</v>
      </c>
      <c r="E250">
        <v>1</v>
      </c>
    </row>
    <row r="251" spans="1:5" x14ac:dyDescent="0.3">
      <c r="A251" s="2">
        <v>44800</v>
      </c>
      <c r="B251">
        <v>7</v>
      </c>
      <c r="C251">
        <v>8</v>
      </c>
      <c r="D251">
        <v>2022</v>
      </c>
      <c r="E251">
        <v>1</v>
      </c>
    </row>
    <row r="252" spans="1:5" x14ac:dyDescent="0.3">
      <c r="A252" s="2">
        <v>44801</v>
      </c>
      <c r="B252">
        <v>1</v>
      </c>
      <c r="C252">
        <v>8</v>
      </c>
      <c r="D252">
        <v>2022</v>
      </c>
      <c r="E252">
        <v>1</v>
      </c>
    </row>
    <row r="253" spans="1:5" x14ac:dyDescent="0.3">
      <c r="A253" s="2">
        <v>44801</v>
      </c>
      <c r="B253">
        <v>1</v>
      </c>
      <c r="C253">
        <v>8</v>
      </c>
      <c r="D253">
        <v>2022</v>
      </c>
      <c r="E253">
        <v>1</v>
      </c>
    </row>
    <row r="254" spans="1:5" x14ac:dyDescent="0.3">
      <c r="A254" s="2">
        <v>44801</v>
      </c>
      <c r="B254">
        <v>1</v>
      </c>
      <c r="C254">
        <v>8</v>
      </c>
      <c r="D254">
        <v>2022</v>
      </c>
      <c r="E254">
        <v>2</v>
      </c>
    </row>
    <row r="255" spans="1:5" x14ac:dyDescent="0.3">
      <c r="A255" s="2">
        <v>44802</v>
      </c>
      <c r="B255">
        <v>2</v>
      </c>
      <c r="C255">
        <v>8</v>
      </c>
      <c r="D255">
        <v>2022</v>
      </c>
      <c r="E255">
        <v>1</v>
      </c>
    </row>
    <row r="256" spans="1:5" x14ac:dyDescent="0.3">
      <c r="A256" s="2">
        <v>44802</v>
      </c>
      <c r="B256">
        <v>2</v>
      </c>
      <c r="C256">
        <v>8</v>
      </c>
      <c r="D256">
        <v>2022</v>
      </c>
      <c r="E256">
        <v>2</v>
      </c>
    </row>
    <row r="257" spans="1:5" x14ac:dyDescent="0.3">
      <c r="A257" s="2">
        <v>44802</v>
      </c>
      <c r="B257">
        <v>2</v>
      </c>
      <c r="C257">
        <v>8</v>
      </c>
      <c r="D257">
        <v>2022</v>
      </c>
      <c r="E257">
        <v>1</v>
      </c>
    </row>
    <row r="258" spans="1:5" x14ac:dyDescent="0.3">
      <c r="A258" s="2">
        <v>44803</v>
      </c>
      <c r="B258">
        <v>3</v>
      </c>
      <c r="C258">
        <v>8</v>
      </c>
      <c r="D258">
        <v>2022</v>
      </c>
      <c r="E258">
        <v>1</v>
      </c>
    </row>
    <row r="259" spans="1:5" x14ac:dyDescent="0.3">
      <c r="A259" s="2">
        <v>44803</v>
      </c>
      <c r="B259">
        <v>3</v>
      </c>
      <c r="C259">
        <v>8</v>
      </c>
      <c r="D259">
        <v>2022</v>
      </c>
      <c r="E259">
        <v>1</v>
      </c>
    </row>
    <row r="260" spans="1:5" x14ac:dyDescent="0.3">
      <c r="A260" s="2">
        <v>44803</v>
      </c>
      <c r="B260">
        <v>3</v>
      </c>
      <c r="C260">
        <v>8</v>
      </c>
      <c r="D260">
        <v>2022</v>
      </c>
      <c r="E260">
        <v>2</v>
      </c>
    </row>
    <row r="261" spans="1:5" x14ac:dyDescent="0.3">
      <c r="A261" s="2">
        <v>44803</v>
      </c>
      <c r="B261">
        <v>3</v>
      </c>
      <c r="C261">
        <v>8</v>
      </c>
      <c r="D261">
        <v>2022</v>
      </c>
      <c r="E261">
        <v>1</v>
      </c>
    </row>
    <row r="262" spans="1:5" x14ac:dyDescent="0.3">
      <c r="A262" s="2">
        <v>44804</v>
      </c>
      <c r="B262">
        <v>4</v>
      </c>
      <c r="C262">
        <v>8</v>
      </c>
      <c r="D262">
        <v>2022</v>
      </c>
      <c r="E262">
        <v>2</v>
      </c>
    </row>
    <row r="263" spans="1:5" x14ac:dyDescent="0.3">
      <c r="A263" s="2">
        <v>44804</v>
      </c>
      <c r="B263">
        <v>4</v>
      </c>
      <c r="C263">
        <v>8</v>
      </c>
      <c r="D263">
        <v>2022</v>
      </c>
      <c r="E263">
        <v>2</v>
      </c>
    </row>
    <row r="264" spans="1:5" x14ac:dyDescent="0.3">
      <c r="A264" s="2">
        <v>44804</v>
      </c>
      <c r="B264">
        <v>4</v>
      </c>
      <c r="C264">
        <v>8</v>
      </c>
      <c r="D264">
        <v>2022</v>
      </c>
      <c r="E264">
        <v>1</v>
      </c>
    </row>
    <row r="265" spans="1:5" x14ac:dyDescent="0.3">
      <c r="A265" s="2">
        <v>44804</v>
      </c>
      <c r="B265">
        <v>4</v>
      </c>
      <c r="C265">
        <v>8</v>
      </c>
      <c r="D265">
        <v>2022</v>
      </c>
      <c r="E265">
        <v>1</v>
      </c>
    </row>
    <row r="266" spans="1:5" x14ac:dyDescent="0.3">
      <c r="A266" s="2">
        <v>45108</v>
      </c>
      <c r="B266">
        <v>7</v>
      </c>
      <c r="C266">
        <v>7</v>
      </c>
      <c r="D266">
        <v>2023</v>
      </c>
      <c r="E266">
        <v>2</v>
      </c>
    </row>
    <row r="267" spans="1:5" x14ac:dyDescent="0.3">
      <c r="A267" s="2">
        <v>45108</v>
      </c>
      <c r="B267">
        <v>7</v>
      </c>
      <c r="C267">
        <v>7</v>
      </c>
      <c r="D267">
        <v>2023</v>
      </c>
      <c r="E267">
        <v>1</v>
      </c>
    </row>
    <row r="268" spans="1:5" x14ac:dyDescent="0.3">
      <c r="A268" s="2">
        <v>45108</v>
      </c>
      <c r="B268">
        <v>7</v>
      </c>
      <c r="C268">
        <v>7</v>
      </c>
      <c r="D268">
        <v>2023</v>
      </c>
      <c r="E268">
        <v>1</v>
      </c>
    </row>
    <row r="269" spans="1:5" x14ac:dyDescent="0.3">
      <c r="A269" s="2">
        <v>45108</v>
      </c>
      <c r="B269">
        <v>7</v>
      </c>
      <c r="C269">
        <v>7</v>
      </c>
      <c r="D269">
        <v>2023</v>
      </c>
      <c r="E269">
        <v>1</v>
      </c>
    </row>
    <row r="270" spans="1:5" x14ac:dyDescent="0.3">
      <c r="A270" s="2">
        <v>45108</v>
      </c>
      <c r="B270">
        <v>7</v>
      </c>
      <c r="C270">
        <v>7</v>
      </c>
      <c r="D270">
        <v>2023</v>
      </c>
      <c r="E270">
        <v>3</v>
      </c>
    </row>
    <row r="271" spans="1:5" x14ac:dyDescent="0.3">
      <c r="A271" s="2">
        <v>45110</v>
      </c>
      <c r="B271">
        <v>2</v>
      </c>
      <c r="C271">
        <v>7</v>
      </c>
      <c r="D271">
        <v>2023</v>
      </c>
      <c r="E271">
        <v>1</v>
      </c>
    </row>
    <row r="272" spans="1:5" x14ac:dyDescent="0.3">
      <c r="A272" s="2">
        <v>45110</v>
      </c>
      <c r="B272">
        <v>2</v>
      </c>
      <c r="C272">
        <v>7</v>
      </c>
      <c r="D272">
        <v>2023</v>
      </c>
      <c r="E272">
        <v>2</v>
      </c>
    </row>
    <row r="273" spans="1:5" x14ac:dyDescent="0.3">
      <c r="A273" s="2">
        <v>45110</v>
      </c>
      <c r="B273">
        <v>2</v>
      </c>
      <c r="C273">
        <v>7</v>
      </c>
      <c r="D273">
        <v>2023</v>
      </c>
      <c r="E273">
        <v>1</v>
      </c>
    </row>
    <row r="274" spans="1:5" x14ac:dyDescent="0.3">
      <c r="A274" s="2">
        <v>45111</v>
      </c>
      <c r="B274">
        <v>3</v>
      </c>
      <c r="C274">
        <v>7</v>
      </c>
      <c r="D274">
        <v>2023</v>
      </c>
      <c r="E274">
        <v>2</v>
      </c>
    </row>
    <row r="275" spans="1:5" x14ac:dyDescent="0.3">
      <c r="A275" s="2">
        <v>45111</v>
      </c>
      <c r="B275">
        <v>3</v>
      </c>
      <c r="C275">
        <v>7</v>
      </c>
      <c r="D275">
        <v>2023</v>
      </c>
      <c r="E275">
        <v>1</v>
      </c>
    </row>
    <row r="276" spans="1:5" x14ac:dyDescent="0.3">
      <c r="A276" s="2">
        <v>45111</v>
      </c>
      <c r="B276">
        <v>3</v>
      </c>
      <c r="C276">
        <v>7</v>
      </c>
      <c r="D276">
        <v>2023</v>
      </c>
      <c r="E276">
        <v>1</v>
      </c>
    </row>
    <row r="277" spans="1:5" x14ac:dyDescent="0.3">
      <c r="A277" s="2">
        <v>45112</v>
      </c>
      <c r="B277">
        <v>4</v>
      </c>
      <c r="C277">
        <v>7</v>
      </c>
      <c r="D277">
        <v>2023</v>
      </c>
      <c r="E277">
        <v>3</v>
      </c>
    </row>
    <row r="278" spans="1:5" x14ac:dyDescent="0.3">
      <c r="A278" s="2">
        <v>45113</v>
      </c>
      <c r="B278">
        <v>5</v>
      </c>
      <c r="C278">
        <v>7</v>
      </c>
      <c r="D278">
        <v>2023</v>
      </c>
      <c r="E278">
        <v>1</v>
      </c>
    </row>
    <row r="279" spans="1:5" x14ac:dyDescent="0.3">
      <c r="A279" s="2">
        <v>45113</v>
      </c>
      <c r="B279">
        <v>5</v>
      </c>
      <c r="C279">
        <v>7</v>
      </c>
      <c r="D279">
        <v>2023</v>
      </c>
      <c r="E279">
        <v>1</v>
      </c>
    </row>
    <row r="280" spans="1:5" x14ac:dyDescent="0.3">
      <c r="A280" s="2">
        <v>45113</v>
      </c>
      <c r="B280">
        <v>5</v>
      </c>
      <c r="C280">
        <v>7</v>
      </c>
      <c r="D280">
        <v>2023</v>
      </c>
      <c r="E280">
        <v>1</v>
      </c>
    </row>
    <row r="281" spans="1:5" x14ac:dyDescent="0.3">
      <c r="A281" s="2">
        <v>45114</v>
      </c>
      <c r="B281">
        <v>6</v>
      </c>
      <c r="C281">
        <v>7</v>
      </c>
      <c r="D281">
        <v>2023</v>
      </c>
      <c r="E281">
        <v>1</v>
      </c>
    </row>
    <row r="282" spans="1:5" x14ac:dyDescent="0.3">
      <c r="A282" s="2">
        <v>45114</v>
      </c>
      <c r="B282">
        <v>6</v>
      </c>
      <c r="C282">
        <v>7</v>
      </c>
      <c r="D282">
        <v>2023</v>
      </c>
      <c r="E282">
        <v>1</v>
      </c>
    </row>
    <row r="283" spans="1:5" x14ac:dyDescent="0.3">
      <c r="A283" s="2">
        <v>45114</v>
      </c>
      <c r="B283">
        <v>6</v>
      </c>
      <c r="C283">
        <v>7</v>
      </c>
      <c r="D283">
        <v>2023</v>
      </c>
      <c r="E283">
        <v>1</v>
      </c>
    </row>
    <row r="284" spans="1:5" x14ac:dyDescent="0.3">
      <c r="A284" s="2">
        <v>45114</v>
      </c>
      <c r="B284">
        <v>6</v>
      </c>
      <c r="C284">
        <v>7</v>
      </c>
      <c r="D284">
        <v>2023</v>
      </c>
      <c r="E284">
        <v>1</v>
      </c>
    </row>
    <row r="285" spans="1:5" x14ac:dyDescent="0.3">
      <c r="A285" s="2">
        <v>45115</v>
      </c>
      <c r="B285">
        <v>7</v>
      </c>
      <c r="C285">
        <v>7</v>
      </c>
      <c r="D285">
        <v>2023</v>
      </c>
      <c r="E285">
        <v>2</v>
      </c>
    </row>
    <row r="286" spans="1:5" x14ac:dyDescent="0.3">
      <c r="A286" s="2">
        <v>45115</v>
      </c>
      <c r="B286">
        <v>7</v>
      </c>
      <c r="C286">
        <v>7</v>
      </c>
      <c r="D286">
        <v>2023</v>
      </c>
      <c r="E286">
        <v>1</v>
      </c>
    </row>
    <row r="287" spans="1:5" x14ac:dyDescent="0.3">
      <c r="A287" s="2">
        <v>45115</v>
      </c>
      <c r="B287">
        <v>7</v>
      </c>
      <c r="C287">
        <v>7</v>
      </c>
      <c r="D287">
        <v>2023</v>
      </c>
      <c r="E287">
        <v>2</v>
      </c>
    </row>
    <row r="288" spans="1:5" x14ac:dyDescent="0.3">
      <c r="A288" s="2">
        <v>45115</v>
      </c>
      <c r="B288">
        <v>7</v>
      </c>
      <c r="C288">
        <v>7</v>
      </c>
      <c r="D288">
        <v>2023</v>
      </c>
      <c r="E288">
        <v>1</v>
      </c>
    </row>
    <row r="289" spans="1:5" x14ac:dyDescent="0.3">
      <c r="A289" s="2">
        <v>45115</v>
      </c>
      <c r="B289">
        <v>7</v>
      </c>
      <c r="C289">
        <v>7</v>
      </c>
      <c r="D289">
        <v>2023</v>
      </c>
      <c r="E289">
        <v>3</v>
      </c>
    </row>
    <row r="290" spans="1:5" x14ac:dyDescent="0.3">
      <c r="A290" s="2">
        <v>45115</v>
      </c>
      <c r="B290">
        <v>7</v>
      </c>
      <c r="C290">
        <v>7</v>
      </c>
      <c r="D290">
        <v>2023</v>
      </c>
      <c r="E290">
        <v>1</v>
      </c>
    </row>
    <row r="291" spans="1:5" x14ac:dyDescent="0.3">
      <c r="A291" s="2">
        <v>45116</v>
      </c>
      <c r="B291">
        <v>1</v>
      </c>
      <c r="C291">
        <v>7</v>
      </c>
      <c r="D291">
        <v>2023</v>
      </c>
      <c r="E291">
        <v>1</v>
      </c>
    </row>
    <row r="292" spans="1:5" x14ac:dyDescent="0.3">
      <c r="A292" s="2">
        <v>45116</v>
      </c>
      <c r="B292">
        <v>1</v>
      </c>
      <c r="C292">
        <v>7</v>
      </c>
      <c r="D292">
        <v>2023</v>
      </c>
      <c r="E292">
        <v>1</v>
      </c>
    </row>
    <row r="293" spans="1:5" x14ac:dyDescent="0.3">
      <c r="A293" s="2">
        <v>45116</v>
      </c>
      <c r="B293">
        <v>1</v>
      </c>
      <c r="C293">
        <v>7</v>
      </c>
      <c r="D293">
        <v>2023</v>
      </c>
      <c r="E293">
        <v>1</v>
      </c>
    </row>
    <row r="294" spans="1:5" x14ac:dyDescent="0.3">
      <c r="A294" s="2">
        <v>45116</v>
      </c>
      <c r="B294">
        <v>1</v>
      </c>
      <c r="C294">
        <v>7</v>
      </c>
      <c r="D294">
        <v>2023</v>
      </c>
      <c r="E294">
        <v>1</v>
      </c>
    </row>
    <row r="295" spans="1:5" x14ac:dyDescent="0.3">
      <c r="A295" s="2">
        <v>45116</v>
      </c>
      <c r="B295">
        <v>1</v>
      </c>
      <c r="C295">
        <v>7</v>
      </c>
      <c r="D295">
        <v>2023</v>
      </c>
      <c r="E295">
        <v>2</v>
      </c>
    </row>
    <row r="296" spans="1:5" x14ac:dyDescent="0.3">
      <c r="A296" s="2">
        <v>45116</v>
      </c>
      <c r="B296">
        <v>1</v>
      </c>
      <c r="C296">
        <v>7</v>
      </c>
      <c r="D296">
        <v>2023</v>
      </c>
      <c r="E296">
        <v>1</v>
      </c>
    </row>
    <row r="297" spans="1:5" x14ac:dyDescent="0.3">
      <c r="A297" s="2">
        <v>45116</v>
      </c>
      <c r="B297">
        <v>1</v>
      </c>
      <c r="C297">
        <v>7</v>
      </c>
      <c r="D297">
        <v>2023</v>
      </c>
      <c r="E297">
        <v>1</v>
      </c>
    </row>
    <row r="298" spans="1:5" x14ac:dyDescent="0.3">
      <c r="A298" s="2">
        <v>45116</v>
      </c>
      <c r="B298">
        <v>1</v>
      </c>
      <c r="C298">
        <v>7</v>
      </c>
      <c r="D298">
        <v>2023</v>
      </c>
      <c r="E298">
        <v>1</v>
      </c>
    </row>
    <row r="299" spans="1:5" x14ac:dyDescent="0.3">
      <c r="A299" s="2">
        <v>45116</v>
      </c>
      <c r="B299">
        <v>1</v>
      </c>
      <c r="C299">
        <v>7</v>
      </c>
      <c r="D299">
        <v>2023</v>
      </c>
      <c r="E299">
        <v>2</v>
      </c>
    </row>
    <row r="300" spans="1:5" x14ac:dyDescent="0.3">
      <c r="A300" s="2">
        <v>45116</v>
      </c>
      <c r="B300">
        <v>1</v>
      </c>
      <c r="C300">
        <v>7</v>
      </c>
      <c r="D300">
        <v>2023</v>
      </c>
      <c r="E300">
        <v>1</v>
      </c>
    </row>
    <row r="301" spans="1:5" x14ac:dyDescent="0.3">
      <c r="A301" s="2">
        <v>45116</v>
      </c>
      <c r="B301">
        <v>1</v>
      </c>
      <c r="C301">
        <v>7</v>
      </c>
      <c r="D301">
        <v>2023</v>
      </c>
      <c r="E301">
        <v>2</v>
      </c>
    </row>
    <row r="302" spans="1:5" x14ac:dyDescent="0.3">
      <c r="A302" s="2">
        <v>45116</v>
      </c>
      <c r="B302">
        <v>1</v>
      </c>
      <c r="C302">
        <v>7</v>
      </c>
      <c r="D302">
        <v>2023</v>
      </c>
      <c r="E302">
        <v>1</v>
      </c>
    </row>
    <row r="303" spans="1:5" x14ac:dyDescent="0.3">
      <c r="A303" s="2">
        <v>45116</v>
      </c>
      <c r="B303">
        <v>1</v>
      </c>
      <c r="C303">
        <v>7</v>
      </c>
      <c r="D303">
        <v>2023</v>
      </c>
      <c r="E303">
        <v>1</v>
      </c>
    </row>
    <row r="304" spans="1:5" x14ac:dyDescent="0.3">
      <c r="A304" s="2">
        <v>45116</v>
      </c>
      <c r="B304">
        <v>1</v>
      </c>
      <c r="C304">
        <v>7</v>
      </c>
      <c r="D304">
        <v>2023</v>
      </c>
      <c r="E304">
        <v>2</v>
      </c>
    </row>
    <row r="305" spans="1:5" x14ac:dyDescent="0.3">
      <c r="A305" s="2">
        <v>45116</v>
      </c>
      <c r="B305">
        <v>1</v>
      </c>
      <c r="C305">
        <v>7</v>
      </c>
      <c r="D305">
        <v>2023</v>
      </c>
      <c r="E305">
        <v>1</v>
      </c>
    </row>
    <row r="306" spans="1:5" x14ac:dyDescent="0.3">
      <c r="A306" s="2">
        <v>45116</v>
      </c>
      <c r="B306">
        <v>1</v>
      </c>
      <c r="C306">
        <v>7</v>
      </c>
      <c r="D306">
        <v>2023</v>
      </c>
      <c r="E306">
        <v>1</v>
      </c>
    </row>
    <row r="307" spans="1:5" x14ac:dyDescent="0.3">
      <c r="A307" s="2">
        <v>45116</v>
      </c>
      <c r="B307">
        <v>1</v>
      </c>
      <c r="C307">
        <v>7</v>
      </c>
      <c r="D307">
        <v>2023</v>
      </c>
      <c r="E307">
        <v>1</v>
      </c>
    </row>
    <row r="308" spans="1:5" x14ac:dyDescent="0.3">
      <c r="A308" s="2">
        <v>45116</v>
      </c>
      <c r="B308">
        <v>1</v>
      </c>
      <c r="C308">
        <v>7</v>
      </c>
      <c r="D308">
        <v>2023</v>
      </c>
      <c r="E308">
        <v>1</v>
      </c>
    </row>
    <row r="309" spans="1:5" x14ac:dyDescent="0.3">
      <c r="A309" s="2">
        <v>45116</v>
      </c>
      <c r="B309">
        <v>1</v>
      </c>
      <c r="C309">
        <v>7</v>
      </c>
      <c r="D309">
        <v>2023</v>
      </c>
      <c r="E309">
        <v>1</v>
      </c>
    </row>
    <row r="310" spans="1:5" x14ac:dyDescent="0.3">
      <c r="A310" s="2">
        <v>45116</v>
      </c>
      <c r="B310">
        <v>1</v>
      </c>
      <c r="C310">
        <v>7</v>
      </c>
      <c r="D310">
        <v>2023</v>
      </c>
      <c r="E310">
        <v>2</v>
      </c>
    </row>
    <row r="311" spans="1:5" x14ac:dyDescent="0.3">
      <c r="A311" s="2">
        <v>45116</v>
      </c>
      <c r="B311">
        <v>1</v>
      </c>
      <c r="C311">
        <v>7</v>
      </c>
      <c r="D311">
        <v>2023</v>
      </c>
      <c r="E311">
        <v>1</v>
      </c>
    </row>
    <row r="312" spans="1:5" x14ac:dyDescent="0.3">
      <c r="A312" s="2">
        <v>45118</v>
      </c>
      <c r="B312">
        <v>3</v>
      </c>
      <c r="C312">
        <v>7</v>
      </c>
      <c r="D312">
        <v>2023</v>
      </c>
      <c r="E312">
        <v>1</v>
      </c>
    </row>
    <row r="313" spans="1:5" x14ac:dyDescent="0.3">
      <c r="A313" s="2">
        <v>45118</v>
      </c>
      <c r="B313">
        <v>3</v>
      </c>
      <c r="C313">
        <v>7</v>
      </c>
      <c r="D313">
        <v>2023</v>
      </c>
      <c r="E313">
        <v>1</v>
      </c>
    </row>
    <row r="314" spans="1:5" x14ac:dyDescent="0.3">
      <c r="A314" s="2">
        <v>45118</v>
      </c>
      <c r="B314">
        <v>3</v>
      </c>
      <c r="C314">
        <v>7</v>
      </c>
      <c r="D314">
        <v>2023</v>
      </c>
      <c r="E314">
        <v>1</v>
      </c>
    </row>
    <row r="315" spans="1:5" x14ac:dyDescent="0.3">
      <c r="A315" s="2">
        <v>45118</v>
      </c>
      <c r="B315">
        <v>3</v>
      </c>
      <c r="C315">
        <v>7</v>
      </c>
      <c r="D315">
        <v>2023</v>
      </c>
      <c r="E315">
        <v>2</v>
      </c>
    </row>
    <row r="316" spans="1:5" x14ac:dyDescent="0.3">
      <c r="A316" s="2">
        <v>45118</v>
      </c>
      <c r="B316">
        <v>3</v>
      </c>
      <c r="C316">
        <v>7</v>
      </c>
      <c r="D316">
        <v>2023</v>
      </c>
      <c r="E316">
        <v>2</v>
      </c>
    </row>
    <row r="317" spans="1:5" x14ac:dyDescent="0.3">
      <c r="A317" s="2">
        <v>45118</v>
      </c>
      <c r="B317">
        <v>3</v>
      </c>
      <c r="C317">
        <v>7</v>
      </c>
      <c r="D317">
        <v>2023</v>
      </c>
      <c r="E317">
        <v>2</v>
      </c>
    </row>
    <row r="318" spans="1:5" x14ac:dyDescent="0.3">
      <c r="A318" s="2">
        <v>45118</v>
      </c>
      <c r="B318">
        <v>3</v>
      </c>
      <c r="C318">
        <v>7</v>
      </c>
      <c r="D318">
        <v>2023</v>
      </c>
      <c r="E318">
        <v>1</v>
      </c>
    </row>
    <row r="319" spans="1:5" x14ac:dyDescent="0.3">
      <c r="A319" s="2">
        <v>45118</v>
      </c>
      <c r="B319">
        <v>3</v>
      </c>
      <c r="C319">
        <v>7</v>
      </c>
      <c r="D319">
        <v>2023</v>
      </c>
      <c r="E319">
        <v>1</v>
      </c>
    </row>
    <row r="320" spans="1:5" x14ac:dyDescent="0.3">
      <c r="A320" s="2">
        <v>45118</v>
      </c>
      <c r="B320">
        <v>3</v>
      </c>
      <c r="C320">
        <v>7</v>
      </c>
      <c r="D320">
        <v>2023</v>
      </c>
      <c r="E320">
        <v>1</v>
      </c>
    </row>
    <row r="321" spans="1:5" x14ac:dyDescent="0.3">
      <c r="A321" s="2">
        <v>45118</v>
      </c>
      <c r="B321">
        <v>3</v>
      </c>
      <c r="C321">
        <v>7</v>
      </c>
      <c r="D321">
        <v>2023</v>
      </c>
      <c r="E321">
        <v>1</v>
      </c>
    </row>
    <row r="322" spans="1:5" x14ac:dyDescent="0.3">
      <c r="A322" s="2">
        <v>45119</v>
      </c>
      <c r="B322">
        <v>4</v>
      </c>
      <c r="C322">
        <v>7</v>
      </c>
      <c r="D322">
        <v>2023</v>
      </c>
      <c r="E322">
        <v>2</v>
      </c>
    </row>
    <row r="323" spans="1:5" x14ac:dyDescent="0.3">
      <c r="A323" s="2">
        <v>45119</v>
      </c>
      <c r="B323">
        <v>4</v>
      </c>
      <c r="C323">
        <v>7</v>
      </c>
      <c r="D323">
        <v>2023</v>
      </c>
      <c r="E323">
        <v>1</v>
      </c>
    </row>
    <row r="324" spans="1:5" x14ac:dyDescent="0.3">
      <c r="A324" s="2">
        <v>45119</v>
      </c>
      <c r="B324">
        <v>4</v>
      </c>
      <c r="C324">
        <v>7</v>
      </c>
      <c r="D324">
        <v>2023</v>
      </c>
      <c r="E324">
        <v>2</v>
      </c>
    </row>
    <row r="325" spans="1:5" x14ac:dyDescent="0.3">
      <c r="A325" s="2">
        <v>45119</v>
      </c>
      <c r="B325">
        <v>4</v>
      </c>
      <c r="C325">
        <v>7</v>
      </c>
      <c r="D325">
        <v>2023</v>
      </c>
      <c r="E325">
        <v>1</v>
      </c>
    </row>
    <row r="326" spans="1:5" x14ac:dyDescent="0.3">
      <c r="A326" s="2">
        <v>45119</v>
      </c>
      <c r="B326">
        <v>4</v>
      </c>
      <c r="C326">
        <v>7</v>
      </c>
      <c r="D326">
        <v>2023</v>
      </c>
      <c r="E326">
        <v>1</v>
      </c>
    </row>
    <row r="327" spans="1:5" x14ac:dyDescent="0.3">
      <c r="A327" s="2">
        <v>45119</v>
      </c>
      <c r="B327">
        <v>4</v>
      </c>
      <c r="C327">
        <v>7</v>
      </c>
      <c r="D327">
        <v>2023</v>
      </c>
      <c r="E327">
        <v>2</v>
      </c>
    </row>
    <row r="328" spans="1:5" x14ac:dyDescent="0.3">
      <c r="A328" s="2">
        <v>45120</v>
      </c>
      <c r="B328">
        <v>5</v>
      </c>
      <c r="C328">
        <v>7</v>
      </c>
      <c r="D328">
        <v>2023</v>
      </c>
      <c r="E328">
        <v>1</v>
      </c>
    </row>
    <row r="329" spans="1:5" x14ac:dyDescent="0.3">
      <c r="A329" s="2">
        <v>45120</v>
      </c>
      <c r="B329">
        <v>5</v>
      </c>
      <c r="C329">
        <v>7</v>
      </c>
      <c r="D329">
        <v>2023</v>
      </c>
      <c r="E329">
        <v>1</v>
      </c>
    </row>
    <row r="330" spans="1:5" x14ac:dyDescent="0.3">
      <c r="A330" s="2">
        <v>45120</v>
      </c>
      <c r="B330">
        <v>5</v>
      </c>
      <c r="C330">
        <v>7</v>
      </c>
      <c r="D330">
        <v>2023</v>
      </c>
      <c r="E330">
        <v>1</v>
      </c>
    </row>
    <row r="331" spans="1:5" x14ac:dyDescent="0.3">
      <c r="A331" s="2">
        <v>45120</v>
      </c>
      <c r="B331">
        <v>5</v>
      </c>
      <c r="C331">
        <v>7</v>
      </c>
      <c r="D331">
        <v>2023</v>
      </c>
      <c r="E331">
        <v>1</v>
      </c>
    </row>
    <row r="332" spans="1:5" x14ac:dyDescent="0.3">
      <c r="A332" s="2">
        <v>45120</v>
      </c>
      <c r="B332">
        <v>5</v>
      </c>
      <c r="C332">
        <v>7</v>
      </c>
      <c r="D332">
        <v>2023</v>
      </c>
      <c r="E332">
        <v>2</v>
      </c>
    </row>
    <row r="333" spans="1:5" x14ac:dyDescent="0.3">
      <c r="A333" s="2">
        <v>45121</v>
      </c>
      <c r="B333">
        <v>6</v>
      </c>
      <c r="C333">
        <v>7</v>
      </c>
      <c r="D333">
        <v>2023</v>
      </c>
      <c r="E333">
        <v>1</v>
      </c>
    </row>
    <row r="334" spans="1:5" x14ac:dyDescent="0.3">
      <c r="A334" s="2">
        <v>45121</v>
      </c>
      <c r="B334">
        <v>6</v>
      </c>
      <c r="C334">
        <v>7</v>
      </c>
      <c r="D334">
        <v>2023</v>
      </c>
      <c r="E334">
        <v>1</v>
      </c>
    </row>
    <row r="335" spans="1:5" x14ac:dyDescent="0.3">
      <c r="A335" s="2">
        <v>45121</v>
      </c>
      <c r="B335">
        <v>6</v>
      </c>
      <c r="C335">
        <v>7</v>
      </c>
      <c r="D335">
        <v>2023</v>
      </c>
      <c r="E335">
        <v>1</v>
      </c>
    </row>
    <row r="336" spans="1:5" x14ac:dyDescent="0.3">
      <c r="A336" s="2">
        <v>45122</v>
      </c>
      <c r="B336">
        <v>7</v>
      </c>
      <c r="C336">
        <v>7</v>
      </c>
      <c r="D336">
        <v>2023</v>
      </c>
      <c r="E336">
        <v>1</v>
      </c>
    </row>
    <row r="337" spans="1:5" x14ac:dyDescent="0.3">
      <c r="A337" s="2">
        <v>45122</v>
      </c>
      <c r="B337">
        <v>7</v>
      </c>
      <c r="C337">
        <v>7</v>
      </c>
      <c r="D337">
        <v>2023</v>
      </c>
      <c r="E337">
        <v>1</v>
      </c>
    </row>
    <row r="338" spans="1:5" x14ac:dyDescent="0.3">
      <c r="A338" s="2">
        <v>45122</v>
      </c>
      <c r="B338">
        <v>7</v>
      </c>
      <c r="C338">
        <v>7</v>
      </c>
      <c r="D338">
        <v>2023</v>
      </c>
      <c r="E338">
        <v>1</v>
      </c>
    </row>
    <row r="339" spans="1:5" x14ac:dyDescent="0.3">
      <c r="A339" s="2">
        <v>45122</v>
      </c>
      <c r="B339">
        <v>7</v>
      </c>
      <c r="C339">
        <v>7</v>
      </c>
      <c r="D339">
        <v>2023</v>
      </c>
      <c r="E339">
        <v>2</v>
      </c>
    </row>
    <row r="340" spans="1:5" x14ac:dyDescent="0.3">
      <c r="A340" s="2">
        <v>45122</v>
      </c>
      <c r="B340">
        <v>7</v>
      </c>
      <c r="C340">
        <v>7</v>
      </c>
      <c r="D340">
        <v>2023</v>
      </c>
      <c r="E340">
        <v>1</v>
      </c>
    </row>
    <row r="341" spans="1:5" x14ac:dyDescent="0.3">
      <c r="A341" s="2">
        <v>45123</v>
      </c>
      <c r="B341">
        <v>1</v>
      </c>
      <c r="C341">
        <v>7</v>
      </c>
      <c r="D341">
        <v>2023</v>
      </c>
      <c r="E341">
        <v>2</v>
      </c>
    </row>
    <row r="342" spans="1:5" x14ac:dyDescent="0.3">
      <c r="A342" s="2">
        <v>45123</v>
      </c>
      <c r="B342">
        <v>1</v>
      </c>
      <c r="C342">
        <v>7</v>
      </c>
      <c r="D342">
        <v>2023</v>
      </c>
      <c r="E342">
        <v>1</v>
      </c>
    </row>
    <row r="343" spans="1:5" x14ac:dyDescent="0.3">
      <c r="A343" s="2">
        <v>45123</v>
      </c>
      <c r="B343">
        <v>1</v>
      </c>
      <c r="C343">
        <v>7</v>
      </c>
      <c r="D343">
        <v>2023</v>
      </c>
      <c r="E343">
        <v>1</v>
      </c>
    </row>
    <row r="344" spans="1:5" x14ac:dyDescent="0.3">
      <c r="A344" s="2">
        <v>45123</v>
      </c>
      <c r="B344">
        <v>1</v>
      </c>
      <c r="C344">
        <v>7</v>
      </c>
      <c r="D344">
        <v>2023</v>
      </c>
      <c r="E344">
        <v>1</v>
      </c>
    </row>
    <row r="345" spans="1:5" x14ac:dyDescent="0.3">
      <c r="A345" s="2">
        <v>45123</v>
      </c>
      <c r="B345">
        <v>1</v>
      </c>
      <c r="C345">
        <v>7</v>
      </c>
      <c r="D345">
        <v>2023</v>
      </c>
      <c r="E345">
        <v>2</v>
      </c>
    </row>
    <row r="346" spans="1:5" x14ac:dyDescent="0.3">
      <c r="A346" s="2">
        <v>45123</v>
      </c>
      <c r="B346">
        <v>1</v>
      </c>
      <c r="C346">
        <v>7</v>
      </c>
      <c r="D346">
        <v>2023</v>
      </c>
      <c r="E346">
        <v>3</v>
      </c>
    </row>
    <row r="347" spans="1:5" x14ac:dyDescent="0.3">
      <c r="A347" s="2">
        <v>45123</v>
      </c>
      <c r="B347">
        <v>1</v>
      </c>
      <c r="C347">
        <v>7</v>
      </c>
      <c r="D347">
        <v>2023</v>
      </c>
      <c r="E347">
        <v>1</v>
      </c>
    </row>
    <row r="348" spans="1:5" x14ac:dyDescent="0.3">
      <c r="A348" s="2">
        <v>45123</v>
      </c>
      <c r="B348">
        <v>1</v>
      </c>
      <c r="C348">
        <v>7</v>
      </c>
      <c r="D348">
        <v>2023</v>
      </c>
      <c r="E348">
        <v>1</v>
      </c>
    </row>
    <row r="349" spans="1:5" x14ac:dyDescent="0.3">
      <c r="A349" s="2">
        <v>45123</v>
      </c>
      <c r="B349">
        <v>1</v>
      </c>
      <c r="C349">
        <v>7</v>
      </c>
      <c r="D349">
        <v>2023</v>
      </c>
      <c r="E349">
        <v>1</v>
      </c>
    </row>
    <row r="350" spans="1:5" x14ac:dyDescent="0.3">
      <c r="A350" s="2">
        <v>45124</v>
      </c>
      <c r="B350">
        <v>2</v>
      </c>
      <c r="C350">
        <v>7</v>
      </c>
      <c r="D350">
        <v>2023</v>
      </c>
      <c r="E350">
        <v>2</v>
      </c>
    </row>
    <row r="351" spans="1:5" x14ac:dyDescent="0.3">
      <c r="A351" s="2">
        <v>45124</v>
      </c>
      <c r="B351">
        <v>2</v>
      </c>
      <c r="C351">
        <v>7</v>
      </c>
      <c r="D351">
        <v>2023</v>
      </c>
      <c r="E351">
        <v>1</v>
      </c>
    </row>
    <row r="352" spans="1:5" x14ac:dyDescent="0.3">
      <c r="A352" s="2">
        <v>45124</v>
      </c>
      <c r="B352">
        <v>2</v>
      </c>
      <c r="C352">
        <v>7</v>
      </c>
      <c r="D352">
        <v>2023</v>
      </c>
      <c r="E352">
        <v>1</v>
      </c>
    </row>
    <row r="353" spans="1:5" x14ac:dyDescent="0.3">
      <c r="A353" s="2">
        <v>45124</v>
      </c>
      <c r="B353">
        <v>2</v>
      </c>
      <c r="C353">
        <v>7</v>
      </c>
      <c r="D353">
        <v>2023</v>
      </c>
      <c r="E353">
        <v>1</v>
      </c>
    </row>
    <row r="354" spans="1:5" x14ac:dyDescent="0.3">
      <c r="A354" s="2">
        <v>45124</v>
      </c>
      <c r="B354">
        <v>2</v>
      </c>
      <c r="C354">
        <v>7</v>
      </c>
      <c r="D354">
        <v>2023</v>
      </c>
      <c r="E354">
        <v>1</v>
      </c>
    </row>
    <row r="355" spans="1:5" x14ac:dyDescent="0.3">
      <c r="A355" s="2">
        <v>45124</v>
      </c>
      <c r="B355">
        <v>2</v>
      </c>
      <c r="C355">
        <v>7</v>
      </c>
      <c r="D355">
        <v>2023</v>
      </c>
      <c r="E355">
        <v>1</v>
      </c>
    </row>
    <row r="356" spans="1:5" x14ac:dyDescent="0.3">
      <c r="A356" s="2">
        <v>45125</v>
      </c>
      <c r="B356">
        <v>3</v>
      </c>
      <c r="C356">
        <v>7</v>
      </c>
      <c r="D356">
        <v>2023</v>
      </c>
      <c r="E356">
        <v>2</v>
      </c>
    </row>
    <row r="357" spans="1:5" x14ac:dyDescent="0.3">
      <c r="A357" s="2">
        <v>45125</v>
      </c>
      <c r="B357">
        <v>3</v>
      </c>
      <c r="C357">
        <v>7</v>
      </c>
      <c r="D357">
        <v>2023</v>
      </c>
      <c r="E357">
        <v>1</v>
      </c>
    </row>
    <row r="358" spans="1:5" x14ac:dyDescent="0.3">
      <c r="A358" s="2">
        <v>45125</v>
      </c>
      <c r="B358">
        <v>3</v>
      </c>
      <c r="C358">
        <v>7</v>
      </c>
      <c r="D358">
        <v>2023</v>
      </c>
      <c r="E358">
        <v>1</v>
      </c>
    </row>
    <row r="359" spans="1:5" x14ac:dyDescent="0.3">
      <c r="A359" s="2">
        <v>45125</v>
      </c>
      <c r="B359">
        <v>3</v>
      </c>
      <c r="C359">
        <v>7</v>
      </c>
      <c r="D359">
        <v>2023</v>
      </c>
      <c r="E359">
        <v>1</v>
      </c>
    </row>
    <row r="360" spans="1:5" x14ac:dyDescent="0.3">
      <c r="A360" s="2">
        <v>45125</v>
      </c>
      <c r="B360">
        <v>3</v>
      </c>
      <c r="C360">
        <v>7</v>
      </c>
      <c r="D360">
        <v>2023</v>
      </c>
      <c r="E360">
        <v>1</v>
      </c>
    </row>
    <row r="361" spans="1:5" x14ac:dyDescent="0.3">
      <c r="A361" s="2">
        <v>45126</v>
      </c>
      <c r="B361">
        <v>4</v>
      </c>
      <c r="C361">
        <v>7</v>
      </c>
      <c r="D361">
        <v>2023</v>
      </c>
      <c r="E361">
        <v>1</v>
      </c>
    </row>
    <row r="362" spans="1:5" x14ac:dyDescent="0.3">
      <c r="A362" s="2">
        <v>45126</v>
      </c>
      <c r="B362">
        <v>4</v>
      </c>
      <c r="C362">
        <v>7</v>
      </c>
      <c r="D362">
        <v>2023</v>
      </c>
      <c r="E362">
        <v>1</v>
      </c>
    </row>
    <row r="363" spans="1:5" x14ac:dyDescent="0.3">
      <c r="A363" s="2">
        <v>45126</v>
      </c>
      <c r="B363">
        <v>4</v>
      </c>
      <c r="C363">
        <v>7</v>
      </c>
      <c r="D363">
        <v>2023</v>
      </c>
      <c r="E363">
        <v>1</v>
      </c>
    </row>
    <row r="364" spans="1:5" x14ac:dyDescent="0.3">
      <c r="A364" s="2">
        <v>45126</v>
      </c>
      <c r="B364">
        <v>4</v>
      </c>
      <c r="C364">
        <v>7</v>
      </c>
      <c r="D364">
        <v>2023</v>
      </c>
      <c r="E364">
        <v>1</v>
      </c>
    </row>
    <row r="365" spans="1:5" x14ac:dyDescent="0.3">
      <c r="A365" s="2">
        <v>45126</v>
      </c>
      <c r="B365">
        <v>4</v>
      </c>
      <c r="C365">
        <v>7</v>
      </c>
      <c r="D365">
        <v>2023</v>
      </c>
      <c r="E365">
        <v>2</v>
      </c>
    </row>
    <row r="366" spans="1:5" x14ac:dyDescent="0.3">
      <c r="A366" s="2">
        <v>45126</v>
      </c>
      <c r="B366">
        <v>4</v>
      </c>
      <c r="C366">
        <v>7</v>
      </c>
      <c r="D366">
        <v>2023</v>
      </c>
      <c r="E366">
        <v>1</v>
      </c>
    </row>
    <row r="367" spans="1:5" x14ac:dyDescent="0.3">
      <c r="A367" s="2">
        <v>45130</v>
      </c>
      <c r="B367">
        <v>1</v>
      </c>
      <c r="C367">
        <v>7</v>
      </c>
      <c r="D367">
        <v>2023</v>
      </c>
      <c r="E367">
        <v>2</v>
      </c>
    </row>
    <row r="368" spans="1:5" x14ac:dyDescent="0.3">
      <c r="A368" s="2">
        <v>45130</v>
      </c>
      <c r="B368">
        <v>1</v>
      </c>
      <c r="C368">
        <v>7</v>
      </c>
      <c r="D368">
        <v>2023</v>
      </c>
      <c r="E368">
        <v>1</v>
      </c>
    </row>
    <row r="369" spans="1:5" x14ac:dyDescent="0.3">
      <c r="A369" s="2">
        <v>45131</v>
      </c>
      <c r="B369">
        <v>2</v>
      </c>
      <c r="C369">
        <v>7</v>
      </c>
      <c r="D369">
        <v>2023</v>
      </c>
      <c r="E369">
        <v>1</v>
      </c>
    </row>
    <row r="370" spans="1:5" x14ac:dyDescent="0.3">
      <c r="A370" s="2">
        <v>45131</v>
      </c>
      <c r="B370">
        <v>2</v>
      </c>
      <c r="C370">
        <v>7</v>
      </c>
      <c r="D370">
        <v>2023</v>
      </c>
      <c r="E370">
        <v>1</v>
      </c>
    </row>
    <row r="371" spans="1:5" x14ac:dyDescent="0.3">
      <c r="A371" s="2">
        <v>45131</v>
      </c>
      <c r="B371">
        <v>2</v>
      </c>
      <c r="C371">
        <v>7</v>
      </c>
      <c r="D371">
        <v>2023</v>
      </c>
      <c r="E371">
        <v>2</v>
      </c>
    </row>
    <row r="372" spans="1:5" x14ac:dyDescent="0.3">
      <c r="A372" s="2">
        <v>45132</v>
      </c>
      <c r="B372">
        <v>3</v>
      </c>
      <c r="C372">
        <v>7</v>
      </c>
      <c r="D372">
        <v>2023</v>
      </c>
      <c r="E372">
        <v>1</v>
      </c>
    </row>
    <row r="373" spans="1:5" x14ac:dyDescent="0.3">
      <c r="A373" s="2">
        <v>45133</v>
      </c>
      <c r="B373">
        <v>4</v>
      </c>
      <c r="C373">
        <v>7</v>
      </c>
      <c r="D373">
        <v>2023</v>
      </c>
      <c r="E373">
        <v>1</v>
      </c>
    </row>
    <row r="374" spans="1:5" x14ac:dyDescent="0.3">
      <c r="A374" s="2">
        <v>45133</v>
      </c>
      <c r="B374">
        <v>4</v>
      </c>
      <c r="C374">
        <v>7</v>
      </c>
      <c r="D374">
        <v>2023</v>
      </c>
      <c r="E374">
        <v>1</v>
      </c>
    </row>
    <row r="375" spans="1:5" x14ac:dyDescent="0.3">
      <c r="A375" s="2">
        <v>45133</v>
      </c>
      <c r="B375">
        <v>4</v>
      </c>
      <c r="C375">
        <v>7</v>
      </c>
      <c r="D375">
        <v>2023</v>
      </c>
      <c r="E375">
        <v>2</v>
      </c>
    </row>
    <row r="376" spans="1:5" x14ac:dyDescent="0.3">
      <c r="A376" s="2">
        <v>45134</v>
      </c>
      <c r="B376">
        <v>5</v>
      </c>
      <c r="C376">
        <v>7</v>
      </c>
      <c r="D376">
        <v>2023</v>
      </c>
      <c r="E376">
        <v>1</v>
      </c>
    </row>
    <row r="377" spans="1:5" x14ac:dyDescent="0.3">
      <c r="A377" s="2">
        <v>45134</v>
      </c>
      <c r="B377">
        <v>5</v>
      </c>
      <c r="C377">
        <v>7</v>
      </c>
      <c r="D377">
        <v>2023</v>
      </c>
      <c r="E377">
        <v>2</v>
      </c>
    </row>
    <row r="378" spans="1:5" x14ac:dyDescent="0.3">
      <c r="A378" s="2">
        <v>45135</v>
      </c>
      <c r="B378">
        <v>6</v>
      </c>
      <c r="C378">
        <v>7</v>
      </c>
      <c r="D378">
        <v>2023</v>
      </c>
      <c r="E378">
        <v>1</v>
      </c>
    </row>
    <row r="379" spans="1:5" x14ac:dyDescent="0.3">
      <c r="A379" s="2">
        <v>45135</v>
      </c>
      <c r="B379">
        <v>6</v>
      </c>
      <c r="C379">
        <v>7</v>
      </c>
      <c r="D379">
        <v>2023</v>
      </c>
      <c r="E379">
        <v>1</v>
      </c>
    </row>
    <row r="380" spans="1:5" x14ac:dyDescent="0.3">
      <c r="A380" s="2">
        <v>45135</v>
      </c>
      <c r="B380">
        <v>6</v>
      </c>
      <c r="C380">
        <v>7</v>
      </c>
      <c r="D380">
        <v>2023</v>
      </c>
      <c r="E380">
        <v>1</v>
      </c>
    </row>
    <row r="381" spans="1:5" x14ac:dyDescent="0.3">
      <c r="A381" s="2">
        <v>45135</v>
      </c>
      <c r="B381">
        <v>6</v>
      </c>
      <c r="C381">
        <v>7</v>
      </c>
      <c r="D381">
        <v>2023</v>
      </c>
      <c r="E381">
        <v>1</v>
      </c>
    </row>
    <row r="382" spans="1:5" x14ac:dyDescent="0.3">
      <c r="A382" s="2">
        <v>45135</v>
      </c>
      <c r="B382">
        <v>6</v>
      </c>
      <c r="C382">
        <v>7</v>
      </c>
      <c r="D382">
        <v>2023</v>
      </c>
      <c r="E382">
        <v>1</v>
      </c>
    </row>
    <row r="383" spans="1:5" x14ac:dyDescent="0.3">
      <c r="A383" s="2">
        <v>45135</v>
      </c>
      <c r="B383">
        <v>6</v>
      </c>
      <c r="C383">
        <v>7</v>
      </c>
      <c r="D383">
        <v>2023</v>
      </c>
      <c r="E383">
        <v>1</v>
      </c>
    </row>
    <row r="384" spans="1:5" x14ac:dyDescent="0.3">
      <c r="A384" s="2">
        <v>45135</v>
      </c>
      <c r="B384">
        <v>6</v>
      </c>
      <c r="C384">
        <v>7</v>
      </c>
      <c r="D384">
        <v>2023</v>
      </c>
      <c r="E384">
        <v>1</v>
      </c>
    </row>
    <row r="385" spans="1:5" x14ac:dyDescent="0.3">
      <c r="A385" s="2">
        <v>45136</v>
      </c>
      <c r="B385">
        <v>7</v>
      </c>
      <c r="C385">
        <v>7</v>
      </c>
      <c r="D385">
        <v>2023</v>
      </c>
      <c r="E385">
        <v>1</v>
      </c>
    </row>
    <row r="386" spans="1:5" x14ac:dyDescent="0.3">
      <c r="A386" s="2">
        <v>45136</v>
      </c>
      <c r="B386">
        <v>7</v>
      </c>
      <c r="C386">
        <v>7</v>
      </c>
      <c r="D386">
        <v>2023</v>
      </c>
      <c r="E386">
        <v>2</v>
      </c>
    </row>
    <row r="387" spans="1:5" x14ac:dyDescent="0.3">
      <c r="A387" s="2">
        <v>45136</v>
      </c>
      <c r="B387">
        <v>7</v>
      </c>
      <c r="C387">
        <v>7</v>
      </c>
      <c r="D387">
        <v>2023</v>
      </c>
      <c r="E387">
        <v>1</v>
      </c>
    </row>
    <row r="388" spans="1:5" x14ac:dyDescent="0.3">
      <c r="A388" s="2">
        <v>45136</v>
      </c>
      <c r="B388">
        <v>7</v>
      </c>
      <c r="C388">
        <v>7</v>
      </c>
      <c r="D388">
        <v>2023</v>
      </c>
      <c r="E388">
        <v>1</v>
      </c>
    </row>
    <row r="389" spans="1:5" x14ac:dyDescent="0.3">
      <c r="A389" s="2">
        <v>45137</v>
      </c>
      <c r="B389">
        <v>1</v>
      </c>
      <c r="C389">
        <v>7</v>
      </c>
      <c r="D389">
        <v>2023</v>
      </c>
      <c r="E389">
        <v>1</v>
      </c>
    </row>
    <row r="390" spans="1:5" x14ac:dyDescent="0.3">
      <c r="A390" s="2">
        <v>45137</v>
      </c>
      <c r="B390">
        <v>1</v>
      </c>
      <c r="C390">
        <v>7</v>
      </c>
      <c r="D390">
        <v>2023</v>
      </c>
      <c r="E390">
        <v>2</v>
      </c>
    </row>
    <row r="391" spans="1:5" x14ac:dyDescent="0.3">
      <c r="A391" s="2">
        <v>45137</v>
      </c>
      <c r="B391">
        <v>1</v>
      </c>
      <c r="C391">
        <v>7</v>
      </c>
      <c r="D391">
        <v>2023</v>
      </c>
      <c r="E391">
        <v>1</v>
      </c>
    </row>
    <row r="392" spans="1:5" x14ac:dyDescent="0.3">
      <c r="A392" s="2">
        <v>45137</v>
      </c>
      <c r="B392">
        <v>1</v>
      </c>
      <c r="C392">
        <v>7</v>
      </c>
      <c r="D392">
        <v>2023</v>
      </c>
      <c r="E392">
        <v>1</v>
      </c>
    </row>
    <row r="393" spans="1:5" x14ac:dyDescent="0.3">
      <c r="A393" s="2">
        <v>45137</v>
      </c>
      <c r="B393">
        <v>1</v>
      </c>
      <c r="C393">
        <v>7</v>
      </c>
      <c r="D393">
        <v>2023</v>
      </c>
      <c r="E393">
        <v>1</v>
      </c>
    </row>
    <row r="394" spans="1:5" x14ac:dyDescent="0.3">
      <c r="A394" s="2">
        <v>45139</v>
      </c>
      <c r="B394">
        <v>3</v>
      </c>
      <c r="C394">
        <v>8</v>
      </c>
      <c r="D394">
        <v>2023</v>
      </c>
      <c r="E394">
        <v>1</v>
      </c>
    </row>
    <row r="395" spans="1:5" x14ac:dyDescent="0.3">
      <c r="A395" s="2">
        <v>45139</v>
      </c>
      <c r="B395">
        <v>3</v>
      </c>
      <c r="C395">
        <v>8</v>
      </c>
      <c r="D395">
        <v>2023</v>
      </c>
      <c r="E395">
        <v>3</v>
      </c>
    </row>
    <row r="396" spans="1:5" x14ac:dyDescent="0.3">
      <c r="A396" s="2">
        <v>45139</v>
      </c>
      <c r="B396">
        <v>3</v>
      </c>
      <c r="C396">
        <v>8</v>
      </c>
      <c r="D396">
        <v>2023</v>
      </c>
      <c r="E396">
        <v>2</v>
      </c>
    </row>
    <row r="397" spans="1:5" x14ac:dyDescent="0.3">
      <c r="A397" s="2">
        <v>45139</v>
      </c>
      <c r="B397">
        <v>3</v>
      </c>
      <c r="C397">
        <v>8</v>
      </c>
      <c r="D397">
        <v>2023</v>
      </c>
      <c r="E397">
        <v>3</v>
      </c>
    </row>
    <row r="398" spans="1:5" x14ac:dyDescent="0.3">
      <c r="A398" s="2">
        <v>45139</v>
      </c>
      <c r="B398">
        <v>3</v>
      </c>
      <c r="C398">
        <v>8</v>
      </c>
      <c r="D398">
        <v>2023</v>
      </c>
      <c r="E398">
        <v>1</v>
      </c>
    </row>
    <row r="399" spans="1:5" x14ac:dyDescent="0.3">
      <c r="A399" s="2">
        <v>45139</v>
      </c>
      <c r="B399">
        <v>3</v>
      </c>
      <c r="C399">
        <v>8</v>
      </c>
      <c r="D399">
        <v>2023</v>
      </c>
      <c r="E399">
        <v>1</v>
      </c>
    </row>
    <row r="400" spans="1:5" x14ac:dyDescent="0.3">
      <c r="A400" s="2">
        <v>45139</v>
      </c>
      <c r="B400">
        <v>3</v>
      </c>
      <c r="C400">
        <v>8</v>
      </c>
      <c r="D400">
        <v>2023</v>
      </c>
      <c r="E400">
        <v>1</v>
      </c>
    </row>
    <row r="401" spans="1:5" x14ac:dyDescent="0.3">
      <c r="A401" s="2">
        <v>45139</v>
      </c>
      <c r="B401">
        <v>3</v>
      </c>
      <c r="C401">
        <v>8</v>
      </c>
      <c r="D401">
        <v>2023</v>
      </c>
      <c r="E401">
        <v>1</v>
      </c>
    </row>
    <row r="402" spans="1:5" x14ac:dyDescent="0.3">
      <c r="A402" s="2">
        <v>45139</v>
      </c>
      <c r="B402">
        <v>3</v>
      </c>
      <c r="C402">
        <v>8</v>
      </c>
      <c r="D402">
        <v>2023</v>
      </c>
      <c r="E402">
        <v>1</v>
      </c>
    </row>
    <row r="403" spans="1:5" x14ac:dyDescent="0.3">
      <c r="A403" s="2">
        <v>45140</v>
      </c>
      <c r="B403">
        <v>4</v>
      </c>
      <c r="C403">
        <v>8</v>
      </c>
      <c r="D403">
        <v>2023</v>
      </c>
      <c r="E403">
        <v>1</v>
      </c>
    </row>
    <row r="404" spans="1:5" x14ac:dyDescent="0.3">
      <c r="A404" s="2">
        <v>45140</v>
      </c>
      <c r="B404">
        <v>4</v>
      </c>
      <c r="C404">
        <v>8</v>
      </c>
      <c r="D404">
        <v>2023</v>
      </c>
      <c r="E404">
        <v>3</v>
      </c>
    </row>
    <row r="405" spans="1:5" x14ac:dyDescent="0.3">
      <c r="A405" s="2">
        <v>45140</v>
      </c>
      <c r="B405">
        <v>4</v>
      </c>
      <c r="C405">
        <v>8</v>
      </c>
      <c r="D405">
        <v>2023</v>
      </c>
      <c r="E405">
        <v>1</v>
      </c>
    </row>
    <row r="406" spans="1:5" x14ac:dyDescent="0.3">
      <c r="A406" s="2">
        <v>45140</v>
      </c>
      <c r="B406">
        <v>4</v>
      </c>
      <c r="C406">
        <v>8</v>
      </c>
      <c r="D406">
        <v>2023</v>
      </c>
      <c r="E406">
        <v>1</v>
      </c>
    </row>
    <row r="407" spans="1:5" x14ac:dyDescent="0.3">
      <c r="A407" s="2">
        <v>45140</v>
      </c>
      <c r="B407">
        <v>4</v>
      </c>
      <c r="C407">
        <v>8</v>
      </c>
      <c r="D407">
        <v>2023</v>
      </c>
      <c r="E407">
        <v>2</v>
      </c>
    </row>
    <row r="408" spans="1:5" x14ac:dyDescent="0.3">
      <c r="A408" s="2">
        <v>45140</v>
      </c>
      <c r="B408">
        <v>4</v>
      </c>
      <c r="C408">
        <v>8</v>
      </c>
      <c r="D408">
        <v>2023</v>
      </c>
      <c r="E408">
        <v>1</v>
      </c>
    </row>
    <row r="409" spans="1:5" x14ac:dyDescent="0.3">
      <c r="A409" s="2">
        <v>45140</v>
      </c>
      <c r="B409">
        <v>4</v>
      </c>
      <c r="C409">
        <v>8</v>
      </c>
      <c r="D409">
        <v>2023</v>
      </c>
      <c r="E409">
        <v>1</v>
      </c>
    </row>
    <row r="410" spans="1:5" x14ac:dyDescent="0.3">
      <c r="A410" s="2">
        <v>45140</v>
      </c>
      <c r="B410">
        <v>4</v>
      </c>
      <c r="C410">
        <v>8</v>
      </c>
      <c r="D410">
        <v>2023</v>
      </c>
      <c r="E410">
        <v>2</v>
      </c>
    </row>
    <row r="411" spans="1:5" x14ac:dyDescent="0.3">
      <c r="A411" s="2">
        <v>45140</v>
      </c>
      <c r="B411">
        <v>4</v>
      </c>
      <c r="C411">
        <v>8</v>
      </c>
      <c r="D411">
        <v>2023</v>
      </c>
      <c r="E411">
        <v>1</v>
      </c>
    </row>
    <row r="412" spans="1:5" x14ac:dyDescent="0.3">
      <c r="A412" s="2">
        <v>45140</v>
      </c>
      <c r="B412">
        <v>4</v>
      </c>
      <c r="C412">
        <v>8</v>
      </c>
      <c r="D412">
        <v>2023</v>
      </c>
      <c r="E412">
        <v>4</v>
      </c>
    </row>
    <row r="413" spans="1:5" x14ac:dyDescent="0.3">
      <c r="A413" s="2">
        <v>45141</v>
      </c>
      <c r="B413">
        <v>5</v>
      </c>
      <c r="C413">
        <v>8</v>
      </c>
      <c r="D413">
        <v>2023</v>
      </c>
      <c r="E413">
        <v>1</v>
      </c>
    </row>
    <row r="414" spans="1:5" x14ac:dyDescent="0.3">
      <c r="A414" s="2">
        <v>45141</v>
      </c>
      <c r="B414">
        <v>5</v>
      </c>
      <c r="C414">
        <v>8</v>
      </c>
      <c r="D414">
        <v>2023</v>
      </c>
      <c r="E414">
        <v>1</v>
      </c>
    </row>
    <row r="415" spans="1:5" x14ac:dyDescent="0.3">
      <c r="A415" s="2">
        <v>45141</v>
      </c>
      <c r="B415">
        <v>5</v>
      </c>
      <c r="C415">
        <v>8</v>
      </c>
      <c r="D415">
        <v>2023</v>
      </c>
      <c r="E415">
        <v>1</v>
      </c>
    </row>
    <row r="416" spans="1:5" x14ac:dyDescent="0.3">
      <c r="A416" s="2">
        <v>45141</v>
      </c>
      <c r="B416">
        <v>5</v>
      </c>
      <c r="C416">
        <v>8</v>
      </c>
      <c r="D416">
        <v>2023</v>
      </c>
      <c r="E416">
        <v>2</v>
      </c>
    </row>
    <row r="417" spans="1:5" x14ac:dyDescent="0.3">
      <c r="A417" s="2">
        <v>45141</v>
      </c>
      <c r="B417">
        <v>5</v>
      </c>
      <c r="C417">
        <v>8</v>
      </c>
      <c r="D417">
        <v>2023</v>
      </c>
      <c r="E417">
        <v>1</v>
      </c>
    </row>
    <row r="418" spans="1:5" x14ac:dyDescent="0.3">
      <c r="A418" s="2">
        <v>45141</v>
      </c>
      <c r="B418">
        <v>5</v>
      </c>
      <c r="C418">
        <v>8</v>
      </c>
      <c r="D418">
        <v>2023</v>
      </c>
      <c r="E418">
        <v>2</v>
      </c>
    </row>
    <row r="419" spans="1:5" x14ac:dyDescent="0.3">
      <c r="A419" s="2">
        <v>45142</v>
      </c>
      <c r="B419">
        <v>6</v>
      </c>
      <c r="C419">
        <v>8</v>
      </c>
      <c r="D419">
        <v>2023</v>
      </c>
      <c r="E419">
        <v>1</v>
      </c>
    </row>
    <row r="420" spans="1:5" x14ac:dyDescent="0.3">
      <c r="A420" s="2">
        <v>45142</v>
      </c>
      <c r="B420">
        <v>6</v>
      </c>
      <c r="C420">
        <v>8</v>
      </c>
      <c r="D420">
        <v>2023</v>
      </c>
      <c r="E420">
        <v>1</v>
      </c>
    </row>
    <row r="421" spans="1:5" x14ac:dyDescent="0.3">
      <c r="A421" s="2">
        <v>45142</v>
      </c>
      <c r="B421">
        <v>6</v>
      </c>
      <c r="C421">
        <v>8</v>
      </c>
      <c r="D421">
        <v>2023</v>
      </c>
      <c r="E421">
        <v>1</v>
      </c>
    </row>
    <row r="422" spans="1:5" x14ac:dyDescent="0.3">
      <c r="A422" s="2">
        <v>45142</v>
      </c>
      <c r="B422">
        <v>6</v>
      </c>
      <c r="C422">
        <v>8</v>
      </c>
      <c r="D422">
        <v>2023</v>
      </c>
      <c r="E422">
        <v>2</v>
      </c>
    </row>
    <row r="423" spans="1:5" x14ac:dyDescent="0.3">
      <c r="A423" s="2">
        <v>45142</v>
      </c>
      <c r="B423">
        <v>6</v>
      </c>
      <c r="C423">
        <v>8</v>
      </c>
      <c r="D423">
        <v>2023</v>
      </c>
      <c r="E423">
        <v>1</v>
      </c>
    </row>
    <row r="424" spans="1:5" x14ac:dyDescent="0.3">
      <c r="A424" s="2">
        <v>45142</v>
      </c>
      <c r="B424">
        <v>6</v>
      </c>
      <c r="C424">
        <v>8</v>
      </c>
      <c r="D424">
        <v>2023</v>
      </c>
      <c r="E424">
        <v>1</v>
      </c>
    </row>
    <row r="425" spans="1:5" x14ac:dyDescent="0.3">
      <c r="A425" s="2">
        <v>45142</v>
      </c>
      <c r="B425">
        <v>6</v>
      </c>
      <c r="C425">
        <v>8</v>
      </c>
      <c r="D425">
        <v>2023</v>
      </c>
      <c r="E425">
        <v>1</v>
      </c>
    </row>
    <row r="426" spans="1:5" x14ac:dyDescent="0.3">
      <c r="A426" s="2">
        <v>45143</v>
      </c>
      <c r="B426">
        <v>7</v>
      </c>
      <c r="C426">
        <v>8</v>
      </c>
      <c r="D426">
        <v>2023</v>
      </c>
      <c r="E426">
        <v>3</v>
      </c>
    </row>
    <row r="427" spans="1:5" x14ac:dyDescent="0.3">
      <c r="A427" s="2">
        <v>45143</v>
      </c>
      <c r="B427">
        <v>7</v>
      </c>
      <c r="C427">
        <v>8</v>
      </c>
      <c r="D427">
        <v>2023</v>
      </c>
      <c r="E427">
        <v>1</v>
      </c>
    </row>
    <row r="428" spans="1:5" x14ac:dyDescent="0.3">
      <c r="A428" s="2">
        <v>45143</v>
      </c>
      <c r="B428">
        <v>7</v>
      </c>
      <c r="C428">
        <v>8</v>
      </c>
      <c r="D428">
        <v>2023</v>
      </c>
      <c r="E428">
        <v>1</v>
      </c>
    </row>
    <row r="429" spans="1:5" x14ac:dyDescent="0.3">
      <c r="A429" s="2">
        <v>45143</v>
      </c>
      <c r="B429">
        <v>7</v>
      </c>
      <c r="C429">
        <v>8</v>
      </c>
      <c r="D429">
        <v>2023</v>
      </c>
      <c r="E429">
        <v>2</v>
      </c>
    </row>
    <row r="430" spans="1:5" x14ac:dyDescent="0.3">
      <c r="A430" s="2">
        <v>45143</v>
      </c>
      <c r="B430">
        <v>7</v>
      </c>
      <c r="C430">
        <v>8</v>
      </c>
      <c r="D430">
        <v>2023</v>
      </c>
      <c r="E430">
        <v>1</v>
      </c>
    </row>
    <row r="431" spans="1:5" x14ac:dyDescent="0.3">
      <c r="A431" s="2">
        <v>45143</v>
      </c>
      <c r="B431">
        <v>7</v>
      </c>
      <c r="C431">
        <v>8</v>
      </c>
      <c r="D431">
        <v>2023</v>
      </c>
      <c r="E431">
        <v>2</v>
      </c>
    </row>
    <row r="432" spans="1:5" x14ac:dyDescent="0.3">
      <c r="A432" s="2">
        <v>45143</v>
      </c>
      <c r="B432">
        <v>7</v>
      </c>
      <c r="C432">
        <v>8</v>
      </c>
      <c r="D432">
        <v>2023</v>
      </c>
      <c r="E432">
        <v>1</v>
      </c>
    </row>
    <row r="433" spans="1:5" x14ac:dyDescent="0.3">
      <c r="A433" s="2">
        <v>45143</v>
      </c>
      <c r="B433">
        <v>7</v>
      </c>
      <c r="C433">
        <v>8</v>
      </c>
      <c r="D433">
        <v>2023</v>
      </c>
      <c r="E433">
        <v>1</v>
      </c>
    </row>
    <row r="434" spans="1:5" x14ac:dyDescent="0.3">
      <c r="A434" s="2">
        <v>45143</v>
      </c>
      <c r="B434">
        <v>7</v>
      </c>
      <c r="C434">
        <v>8</v>
      </c>
      <c r="D434">
        <v>2023</v>
      </c>
      <c r="E434">
        <v>1</v>
      </c>
    </row>
    <row r="435" spans="1:5" x14ac:dyDescent="0.3">
      <c r="A435" s="2">
        <v>45145</v>
      </c>
      <c r="B435">
        <v>2</v>
      </c>
      <c r="C435">
        <v>8</v>
      </c>
      <c r="D435">
        <v>2023</v>
      </c>
      <c r="E435">
        <v>2</v>
      </c>
    </row>
    <row r="436" spans="1:5" x14ac:dyDescent="0.3">
      <c r="A436" s="2">
        <v>45145</v>
      </c>
      <c r="B436">
        <v>2</v>
      </c>
      <c r="C436">
        <v>8</v>
      </c>
      <c r="D436">
        <v>2023</v>
      </c>
      <c r="E436">
        <v>1</v>
      </c>
    </row>
    <row r="437" spans="1:5" x14ac:dyDescent="0.3">
      <c r="A437" s="2">
        <v>45145</v>
      </c>
      <c r="B437">
        <v>2</v>
      </c>
      <c r="C437">
        <v>8</v>
      </c>
      <c r="D437">
        <v>2023</v>
      </c>
      <c r="E437">
        <v>1</v>
      </c>
    </row>
    <row r="438" spans="1:5" x14ac:dyDescent="0.3">
      <c r="A438" s="2">
        <v>45145</v>
      </c>
      <c r="B438">
        <v>2</v>
      </c>
      <c r="C438">
        <v>8</v>
      </c>
      <c r="D438">
        <v>2023</v>
      </c>
      <c r="E438">
        <v>1</v>
      </c>
    </row>
    <row r="439" spans="1:5" x14ac:dyDescent="0.3">
      <c r="A439" s="2">
        <v>45145</v>
      </c>
      <c r="B439">
        <v>2</v>
      </c>
      <c r="C439">
        <v>8</v>
      </c>
      <c r="D439">
        <v>2023</v>
      </c>
      <c r="E439">
        <v>2</v>
      </c>
    </row>
    <row r="440" spans="1:5" x14ac:dyDescent="0.3">
      <c r="A440" s="2">
        <v>45145</v>
      </c>
      <c r="B440">
        <v>2</v>
      </c>
      <c r="C440">
        <v>8</v>
      </c>
      <c r="D440">
        <v>2023</v>
      </c>
      <c r="E440">
        <v>1</v>
      </c>
    </row>
    <row r="441" spans="1:5" x14ac:dyDescent="0.3">
      <c r="A441" s="2">
        <v>45146</v>
      </c>
      <c r="B441">
        <v>3</v>
      </c>
      <c r="C441">
        <v>8</v>
      </c>
      <c r="D441">
        <v>2023</v>
      </c>
      <c r="E441">
        <v>1</v>
      </c>
    </row>
    <row r="442" spans="1:5" x14ac:dyDescent="0.3">
      <c r="A442" s="2">
        <v>45146</v>
      </c>
      <c r="B442">
        <v>3</v>
      </c>
      <c r="C442">
        <v>8</v>
      </c>
      <c r="D442">
        <v>2023</v>
      </c>
      <c r="E442">
        <v>1</v>
      </c>
    </row>
    <row r="443" spans="1:5" x14ac:dyDescent="0.3">
      <c r="A443" s="2">
        <v>45146</v>
      </c>
      <c r="B443">
        <v>3</v>
      </c>
      <c r="C443">
        <v>8</v>
      </c>
      <c r="D443">
        <v>2023</v>
      </c>
      <c r="E443">
        <v>1</v>
      </c>
    </row>
    <row r="444" spans="1:5" x14ac:dyDescent="0.3">
      <c r="A444" s="2">
        <v>45147</v>
      </c>
      <c r="B444">
        <v>4</v>
      </c>
      <c r="C444">
        <v>8</v>
      </c>
      <c r="D444">
        <v>2023</v>
      </c>
      <c r="E444">
        <v>1</v>
      </c>
    </row>
    <row r="445" spans="1:5" x14ac:dyDescent="0.3">
      <c r="A445" s="2">
        <v>45147</v>
      </c>
      <c r="B445">
        <v>4</v>
      </c>
      <c r="C445">
        <v>8</v>
      </c>
      <c r="D445">
        <v>2023</v>
      </c>
      <c r="E445">
        <v>1</v>
      </c>
    </row>
    <row r="446" spans="1:5" x14ac:dyDescent="0.3">
      <c r="A446" s="2">
        <v>45147</v>
      </c>
      <c r="B446">
        <v>4</v>
      </c>
      <c r="C446">
        <v>8</v>
      </c>
      <c r="D446">
        <v>2023</v>
      </c>
      <c r="E446">
        <v>1</v>
      </c>
    </row>
    <row r="447" spans="1:5" x14ac:dyDescent="0.3">
      <c r="A447" s="2">
        <v>45147</v>
      </c>
      <c r="B447">
        <v>4</v>
      </c>
      <c r="C447">
        <v>8</v>
      </c>
      <c r="D447">
        <v>2023</v>
      </c>
      <c r="E447">
        <v>1</v>
      </c>
    </row>
    <row r="448" spans="1:5" x14ac:dyDescent="0.3">
      <c r="A448" s="2">
        <v>45148</v>
      </c>
      <c r="B448">
        <v>5</v>
      </c>
      <c r="C448">
        <v>8</v>
      </c>
      <c r="D448">
        <v>2023</v>
      </c>
      <c r="E448">
        <v>1</v>
      </c>
    </row>
    <row r="449" spans="1:5" x14ac:dyDescent="0.3">
      <c r="A449" s="2">
        <v>45149</v>
      </c>
      <c r="B449">
        <v>6</v>
      </c>
      <c r="C449">
        <v>8</v>
      </c>
      <c r="D449">
        <v>2023</v>
      </c>
      <c r="E449">
        <v>2</v>
      </c>
    </row>
    <row r="450" spans="1:5" x14ac:dyDescent="0.3">
      <c r="A450" s="2">
        <v>45150</v>
      </c>
      <c r="B450">
        <v>7</v>
      </c>
      <c r="C450">
        <v>8</v>
      </c>
      <c r="D450">
        <v>2023</v>
      </c>
      <c r="E450">
        <v>1</v>
      </c>
    </row>
    <row r="451" spans="1:5" x14ac:dyDescent="0.3">
      <c r="A451" s="2">
        <v>45150</v>
      </c>
      <c r="B451">
        <v>7</v>
      </c>
      <c r="C451">
        <v>8</v>
      </c>
      <c r="D451">
        <v>2023</v>
      </c>
      <c r="E451">
        <v>1</v>
      </c>
    </row>
    <row r="452" spans="1:5" x14ac:dyDescent="0.3">
      <c r="A452" s="2">
        <v>45151</v>
      </c>
      <c r="B452">
        <v>1</v>
      </c>
      <c r="C452">
        <v>8</v>
      </c>
      <c r="D452">
        <v>2023</v>
      </c>
      <c r="E452">
        <v>1</v>
      </c>
    </row>
    <row r="453" spans="1:5" x14ac:dyDescent="0.3">
      <c r="A453" s="2">
        <v>45151</v>
      </c>
      <c r="B453">
        <v>1</v>
      </c>
      <c r="C453">
        <v>8</v>
      </c>
      <c r="D453">
        <v>2023</v>
      </c>
      <c r="E453">
        <v>3</v>
      </c>
    </row>
    <row r="454" spans="1:5" x14ac:dyDescent="0.3">
      <c r="A454" s="2">
        <v>45152</v>
      </c>
      <c r="B454">
        <v>2</v>
      </c>
      <c r="C454">
        <v>8</v>
      </c>
      <c r="D454">
        <v>2023</v>
      </c>
      <c r="E454">
        <v>1</v>
      </c>
    </row>
    <row r="455" spans="1:5" x14ac:dyDescent="0.3">
      <c r="A455" s="2">
        <v>45152</v>
      </c>
      <c r="B455">
        <v>2</v>
      </c>
      <c r="C455">
        <v>8</v>
      </c>
      <c r="D455">
        <v>2023</v>
      </c>
      <c r="E455">
        <v>1</v>
      </c>
    </row>
    <row r="456" spans="1:5" x14ac:dyDescent="0.3">
      <c r="A456" s="2">
        <v>45153</v>
      </c>
      <c r="B456">
        <v>3</v>
      </c>
      <c r="C456">
        <v>8</v>
      </c>
      <c r="D456">
        <v>2023</v>
      </c>
      <c r="E456">
        <v>2</v>
      </c>
    </row>
    <row r="457" spans="1:5" x14ac:dyDescent="0.3">
      <c r="A457" s="2">
        <v>45155</v>
      </c>
      <c r="B457">
        <v>5</v>
      </c>
      <c r="C457">
        <v>8</v>
      </c>
      <c r="D457">
        <v>2023</v>
      </c>
      <c r="E457">
        <v>1</v>
      </c>
    </row>
    <row r="458" spans="1:5" x14ac:dyDescent="0.3">
      <c r="A458" s="2">
        <v>45155</v>
      </c>
      <c r="B458">
        <v>5</v>
      </c>
      <c r="C458">
        <v>8</v>
      </c>
      <c r="D458">
        <v>2023</v>
      </c>
      <c r="E458">
        <v>1</v>
      </c>
    </row>
    <row r="459" spans="1:5" x14ac:dyDescent="0.3">
      <c r="A459" s="2">
        <v>45160</v>
      </c>
      <c r="B459">
        <v>3</v>
      </c>
      <c r="C459">
        <v>8</v>
      </c>
      <c r="D459">
        <v>2023</v>
      </c>
      <c r="E459">
        <v>1</v>
      </c>
    </row>
    <row r="460" spans="1:5" x14ac:dyDescent="0.3">
      <c r="A460" s="2">
        <v>45160</v>
      </c>
      <c r="B460">
        <v>3</v>
      </c>
      <c r="C460">
        <v>8</v>
      </c>
      <c r="D460">
        <v>2023</v>
      </c>
      <c r="E460">
        <v>2</v>
      </c>
    </row>
    <row r="461" spans="1:5" x14ac:dyDescent="0.3">
      <c r="A461" s="2">
        <v>45160</v>
      </c>
      <c r="B461">
        <v>3</v>
      </c>
      <c r="C461">
        <v>8</v>
      </c>
      <c r="D461">
        <v>2023</v>
      </c>
      <c r="E461">
        <v>1</v>
      </c>
    </row>
    <row r="462" spans="1:5" x14ac:dyDescent="0.3">
      <c r="A462" s="2">
        <v>45161</v>
      </c>
      <c r="B462">
        <v>4</v>
      </c>
      <c r="C462">
        <v>8</v>
      </c>
      <c r="D462">
        <v>2023</v>
      </c>
      <c r="E462">
        <v>1</v>
      </c>
    </row>
    <row r="463" spans="1:5" x14ac:dyDescent="0.3">
      <c r="A463" s="2">
        <v>45161</v>
      </c>
      <c r="B463">
        <v>4</v>
      </c>
      <c r="C463">
        <v>8</v>
      </c>
      <c r="D463">
        <v>2023</v>
      </c>
      <c r="E463">
        <v>1</v>
      </c>
    </row>
    <row r="464" spans="1:5" x14ac:dyDescent="0.3">
      <c r="A464" s="2">
        <v>45161</v>
      </c>
      <c r="B464">
        <v>4</v>
      </c>
      <c r="C464">
        <v>8</v>
      </c>
      <c r="D464">
        <v>2023</v>
      </c>
      <c r="E464">
        <v>1</v>
      </c>
    </row>
    <row r="465" spans="1:5" x14ac:dyDescent="0.3">
      <c r="A465" s="2">
        <v>45161</v>
      </c>
      <c r="B465">
        <v>4</v>
      </c>
      <c r="C465">
        <v>8</v>
      </c>
      <c r="D465">
        <v>2023</v>
      </c>
      <c r="E465">
        <v>1</v>
      </c>
    </row>
    <row r="466" spans="1:5" x14ac:dyDescent="0.3">
      <c r="A466" s="2">
        <v>45162</v>
      </c>
      <c r="B466">
        <v>5</v>
      </c>
      <c r="C466">
        <v>8</v>
      </c>
      <c r="D466">
        <v>2023</v>
      </c>
      <c r="E466">
        <v>1</v>
      </c>
    </row>
    <row r="467" spans="1:5" x14ac:dyDescent="0.3">
      <c r="A467" s="2">
        <v>45162</v>
      </c>
      <c r="B467">
        <v>5</v>
      </c>
      <c r="C467">
        <v>8</v>
      </c>
      <c r="D467">
        <v>2023</v>
      </c>
      <c r="E467">
        <v>1</v>
      </c>
    </row>
    <row r="468" spans="1:5" x14ac:dyDescent="0.3">
      <c r="A468" s="2">
        <v>45162</v>
      </c>
      <c r="B468">
        <v>5</v>
      </c>
      <c r="C468">
        <v>8</v>
      </c>
      <c r="D468">
        <v>2023</v>
      </c>
      <c r="E468">
        <v>2</v>
      </c>
    </row>
    <row r="469" spans="1:5" x14ac:dyDescent="0.3">
      <c r="A469" s="2">
        <v>45162</v>
      </c>
      <c r="B469">
        <v>5</v>
      </c>
      <c r="C469">
        <v>8</v>
      </c>
      <c r="D469">
        <v>2023</v>
      </c>
      <c r="E469">
        <v>1</v>
      </c>
    </row>
    <row r="470" spans="1:5" x14ac:dyDescent="0.3">
      <c r="A470" s="2">
        <v>45163</v>
      </c>
      <c r="B470">
        <v>6</v>
      </c>
      <c r="C470">
        <v>8</v>
      </c>
      <c r="D470">
        <v>2023</v>
      </c>
      <c r="E470">
        <v>2</v>
      </c>
    </row>
    <row r="471" spans="1:5" x14ac:dyDescent="0.3">
      <c r="A471" s="2">
        <v>45165</v>
      </c>
      <c r="B471">
        <v>1</v>
      </c>
      <c r="C471">
        <v>8</v>
      </c>
      <c r="D471">
        <v>2023</v>
      </c>
      <c r="E471">
        <v>1</v>
      </c>
    </row>
    <row r="472" spans="1:5" x14ac:dyDescent="0.3">
      <c r="A472" s="2">
        <v>45165</v>
      </c>
      <c r="B472">
        <v>1</v>
      </c>
      <c r="C472">
        <v>8</v>
      </c>
      <c r="D472">
        <v>2023</v>
      </c>
      <c r="E472">
        <v>3</v>
      </c>
    </row>
    <row r="473" spans="1:5" x14ac:dyDescent="0.3">
      <c r="A473" s="2">
        <v>45165</v>
      </c>
      <c r="B473">
        <v>1</v>
      </c>
      <c r="C473">
        <v>8</v>
      </c>
      <c r="D473">
        <v>2023</v>
      </c>
      <c r="E473">
        <v>1</v>
      </c>
    </row>
    <row r="474" spans="1:5" x14ac:dyDescent="0.3">
      <c r="A474" s="2">
        <v>45165</v>
      </c>
      <c r="B474">
        <v>1</v>
      </c>
      <c r="C474">
        <v>8</v>
      </c>
      <c r="D474">
        <v>2023</v>
      </c>
      <c r="E474">
        <v>2</v>
      </c>
    </row>
    <row r="475" spans="1:5" x14ac:dyDescent="0.3">
      <c r="A475" s="2">
        <v>45166</v>
      </c>
      <c r="B475">
        <v>2</v>
      </c>
      <c r="C475">
        <v>8</v>
      </c>
      <c r="D475">
        <v>2023</v>
      </c>
      <c r="E475">
        <v>2</v>
      </c>
    </row>
    <row r="476" spans="1:5" x14ac:dyDescent="0.3">
      <c r="A476" s="2">
        <v>45166</v>
      </c>
      <c r="B476">
        <v>2</v>
      </c>
      <c r="C476">
        <v>8</v>
      </c>
      <c r="D476">
        <v>2023</v>
      </c>
      <c r="E476">
        <v>1</v>
      </c>
    </row>
    <row r="477" spans="1:5" x14ac:dyDescent="0.3">
      <c r="A477" s="2">
        <v>45166</v>
      </c>
      <c r="B477">
        <v>2</v>
      </c>
      <c r="C477">
        <v>8</v>
      </c>
      <c r="D477">
        <v>2023</v>
      </c>
      <c r="E477">
        <v>1</v>
      </c>
    </row>
    <row r="478" spans="1:5" x14ac:dyDescent="0.3">
      <c r="A478" s="2">
        <v>45167</v>
      </c>
      <c r="B478">
        <v>3</v>
      </c>
      <c r="C478">
        <v>8</v>
      </c>
      <c r="D478">
        <v>2023</v>
      </c>
      <c r="E478">
        <v>2</v>
      </c>
    </row>
    <row r="479" spans="1:5" x14ac:dyDescent="0.3">
      <c r="A479" s="2">
        <v>45169</v>
      </c>
      <c r="B479">
        <v>5</v>
      </c>
      <c r="C479">
        <v>8</v>
      </c>
      <c r="D479">
        <v>2023</v>
      </c>
      <c r="E479">
        <v>2</v>
      </c>
    </row>
    <row r="480" spans="1:5" x14ac:dyDescent="0.3">
      <c r="A480" s="2">
        <v>45169</v>
      </c>
      <c r="B480">
        <v>5</v>
      </c>
      <c r="C480">
        <v>8</v>
      </c>
      <c r="D480">
        <v>2023</v>
      </c>
      <c r="E480">
        <v>1</v>
      </c>
    </row>
    <row r="481" spans="1:5" x14ac:dyDescent="0.3">
      <c r="A481" s="2">
        <v>45114</v>
      </c>
      <c r="B481">
        <v>6</v>
      </c>
      <c r="C481">
        <v>7</v>
      </c>
      <c r="D481">
        <v>2023</v>
      </c>
      <c r="E481">
        <v>1</v>
      </c>
    </row>
    <row r="482" spans="1:5" x14ac:dyDescent="0.3">
      <c r="A482" s="2">
        <v>45114</v>
      </c>
      <c r="B482">
        <v>6</v>
      </c>
      <c r="C482">
        <v>7</v>
      </c>
      <c r="D482">
        <v>2023</v>
      </c>
      <c r="E482">
        <v>1</v>
      </c>
    </row>
    <row r="483" spans="1:5" x14ac:dyDescent="0.3">
      <c r="A483" s="2">
        <v>45114</v>
      </c>
      <c r="B483">
        <v>6</v>
      </c>
      <c r="C483">
        <v>7</v>
      </c>
      <c r="D483">
        <v>2023</v>
      </c>
      <c r="E483">
        <v>1</v>
      </c>
    </row>
    <row r="484" spans="1:5" x14ac:dyDescent="0.3">
      <c r="A484" s="2">
        <v>45114</v>
      </c>
      <c r="B484">
        <v>6</v>
      </c>
      <c r="C484">
        <v>7</v>
      </c>
      <c r="D484">
        <v>2023</v>
      </c>
      <c r="E484">
        <v>1</v>
      </c>
    </row>
    <row r="485" spans="1:5" x14ac:dyDescent="0.3">
      <c r="A485" s="2">
        <v>45114</v>
      </c>
      <c r="B485">
        <v>6</v>
      </c>
      <c r="C485">
        <v>7</v>
      </c>
      <c r="D485">
        <v>2023</v>
      </c>
      <c r="E485">
        <v>2</v>
      </c>
    </row>
    <row r="486" spans="1:5" x14ac:dyDescent="0.3">
      <c r="A486" s="2">
        <v>45114</v>
      </c>
      <c r="B486">
        <v>6</v>
      </c>
      <c r="C486">
        <v>7</v>
      </c>
      <c r="D486">
        <v>2023</v>
      </c>
      <c r="E486">
        <v>1</v>
      </c>
    </row>
    <row r="487" spans="1:5" x14ac:dyDescent="0.3">
      <c r="A487" s="2">
        <v>45115</v>
      </c>
      <c r="B487">
        <v>7</v>
      </c>
      <c r="C487">
        <v>7</v>
      </c>
      <c r="D487">
        <v>2023</v>
      </c>
      <c r="E487">
        <v>1</v>
      </c>
    </row>
    <row r="488" spans="1:5" x14ac:dyDescent="0.3">
      <c r="A488" s="2">
        <v>45115</v>
      </c>
      <c r="B488">
        <v>7</v>
      </c>
      <c r="C488">
        <v>7</v>
      </c>
      <c r="D488">
        <v>2023</v>
      </c>
      <c r="E488">
        <v>1</v>
      </c>
    </row>
    <row r="489" spans="1:5" x14ac:dyDescent="0.3">
      <c r="A489" s="2">
        <v>45115</v>
      </c>
      <c r="B489">
        <v>7</v>
      </c>
      <c r="C489">
        <v>7</v>
      </c>
      <c r="D489">
        <v>2023</v>
      </c>
      <c r="E489">
        <v>1</v>
      </c>
    </row>
    <row r="490" spans="1:5" x14ac:dyDescent="0.3">
      <c r="A490" s="2">
        <v>45115</v>
      </c>
      <c r="B490">
        <v>7</v>
      </c>
      <c r="C490">
        <v>7</v>
      </c>
      <c r="D490">
        <v>2023</v>
      </c>
      <c r="E490">
        <v>2</v>
      </c>
    </row>
    <row r="491" spans="1:5" x14ac:dyDescent="0.3">
      <c r="A491" s="2">
        <v>45115</v>
      </c>
      <c r="B491">
        <v>7</v>
      </c>
      <c r="C491">
        <v>7</v>
      </c>
      <c r="D491">
        <v>2023</v>
      </c>
      <c r="E491">
        <v>1</v>
      </c>
    </row>
    <row r="492" spans="1:5" x14ac:dyDescent="0.3">
      <c r="A492" s="2">
        <v>45115</v>
      </c>
      <c r="B492">
        <v>7</v>
      </c>
      <c r="C492">
        <v>7</v>
      </c>
      <c r="D492">
        <v>2023</v>
      </c>
      <c r="E492">
        <v>1</v>
      </c>
    </row>
    <row r="493" spans="1:5" x14ac:dyDescent="0.3">
      <c r="A493" s="2">
        <v>45115</v>
      </c>
      <c r="B493">
        <v>7</v>
      </c>
      <c r="C493">
        <v>7</v>
      </c>
      <c r="D493">
        <v>2023</v>
      </c>
      <c r="E493">
        <v>2</v>
      </c>
    </row>
    <row r="494" spans="1:5" x14ac:dyDescent="0.3">
      <c r="A494" s="2">
        <v>45115</v>
      </c>
      <c r="B494">
        <v>7</v>
      </c>
      <c r="C494">
        <v>7</v>
      </c>
      <c r="D494">
        <v>2023</v>
      </c>
      <c r="E494">
        <v>1</v>
      </c>
    </row>
    <row r="495" spans="1:5" x14ac:dyDescent="0.3">
      <c r="A495" s="2">
        <v>45116</v>
      </c>
      <c r="B495">
        <v>1</v>
      </c>
      <c r="C495">
        <v>7</v>
      </c>
      <c r="D495">
        <v>2023</v>
      </c>
      <c r="E495">
        <v>1</v>
      </c>
    </row>
    <row r="496" spans="1:5" x14ac:dyDescent="0.3">
      <c r="A496" s="2">
        <v>45116</v>
      </c>
      <c r="B496">
        <v>1</v>
      </c>
      <c r="C496">
        <v>7</v>
      </c>
      <c r="D496">
        <v>2023</v>
      </c>
      <c r="E496">
        <v>3</v>
      </c>
    </row>
    <row r="497" spans="1:5" x14ac:dyDescent="0.3">
      <c r="A497" s="2">
        <v>45116</v>
      </c>
      <c r="B497">
        <v>1</v>
      </c>
      <c r="C497">
        <v>7</v>
      </c>
      <c r="D497">
        <v>2023</v>
      </c>
      <c r="E497">
        <v>1</v>
      </c>
    </row>
    <row r="498" spans="1:5" x14ac:dyDescent="0.3">
      <c r="A498" s="2">
        <v>45116</v>
      </c>
      <c r="B498">
        <v>1</v>
      </c>
      <c r="C498">
        <v>7</v>
      </c>
      <c r="D498">
        <v>2023</v>
      </c>
      <c r="E498">
        <v>2</v>
      </c>
    </row>
    <row r="499" spans="1:5" x14ac:dyDescent="0.3">
      <c r="A499" s="2">
        <v>45116</v>
      </c>
      <c r="B499">
        <v>1</v>
      </c>
      <c r="C499">
        <v>7</v>
      </c>
      <c r="D499">
        <v>2023</v>
      </c>
      <c r="E499">
        <v>1</v>
      </c>
    </row>
    <row r="500" spans="1:5" x14ac:dyDescent="0.3">
      <c r="A500" s="2">
        <v>45116</v>
      </c>
      <c r="B500">
        <v>1</v>
      </c>
      <c r="C500">
        <v>7</v>
      </c>
      <c r="D500">
        <v>2023</v>
      </c>
      <c r="E500">
        <v>1</v>
      </c>
    </row>
    <row r="501" spans="1:5" x14ac:dyDescent="0.3">
      <c r="A501" s="2">
        <v>45116</v>
      </c>
      <c r="B501">
        <v>1</v>
      </c>
      <c r="C501">
        <v>7</v>
      </c>
      <c r="D501">
        <v>2023</v>
      </c>
      <c r="E501">
        <v>2</v>
      </c>
    </row>
    <row r="502" spans="1:5" x14ac:dyDescent="0.3">
      <c r="A502" s="2">
        <v>45116</v>
      </c>
      <c r="B502">
        <v>1</v>
      </c>
      <c r="C502">
        <v>7</v>
      </c>
      <c r="D502">
        <v>2023</v>
      </c>
      <c r="E502">
        <v>1</v>
      </c>
    </row>
    <row r="503" spans="1:5" x14ac:dyDescent="0.3">
      <c r="A503" s="2">
        <v>45116</v>
      </c>
      <c r="B503">
        <v>1</v>
      </c>
      <c r="C503">
        <v>7</v>
      </c>
      <c r="D503">
        <v>2023</v>
      </c>
      <c r="E503">
        <v>1</v>
      </c>
    </row>
    <row r="504" spans="1:5" x14ac:dyDescent="0.3">
      <c r="A504" s="2">
        <v>45116</v>
      </c>
      <c r="B504">
        <v>1</v>
      </c>
      <c r="C504">
        <v>7</v>
      </c>
      <c r="D504">
        <v>2023</v>
      </c>
      <c r="E504">
        <v>1</v>
      </c>
    </row>
    <row r="505" spans="1:5" x14ac:dyDescent="0.3">
      <c r="A505" s="2">
        <v>45116</v>
      </c>
      <c r="B505">
        <v>1</v>
      </c>
      <c r="C505">
        <v>7</v>
      </c>
      <c r="D505">
        <v>2023</v>
      </c>
      <c r="E505">
        <v>1</v>
      </c>
    </row>
    <row r="506" spans="1:5" x14ac:dyDescent="0.3">
      <c r="A506" s="2">
        <v>45116</v>
      </c>
      <c r="B506">
        <v>1</v>
      </c>
      <c r="C506">
        <v>7</v>
      </c>
      <c r="D506">
        <v>2023</v>
      </c>
      <c r="E506">
        <v>1</v>
      </c>
    </row>
    <row r="507" spans="1:5" x14ac:dyDescent="0.3">
      <c r="A507" s="2">
        <v>45116</v>
      </c>
      <c r="B507">
        <v>1</v>
      </c>
      <c r="C507">
        <v>7</v>
      </c>
      <c r="D507">
        <v>2023</v>
      </c>
      <c r="E507">
        <v>1</v>
      </c>
    </row>
    <row r="508" spans="1:5" x14ac:dyDescent="0.3">
      <c r="A508" s="2">
        <v>45116</v>
      </c>
      <c r="B508">
        <v>1</v>
      </c>
      <c r="C508">
        <v>7</v>
      </c>
      <c r="D508">
        <v>2023</v>
      </c>
      <c r="E508">
        <v>1</v>
      </c>
    </row>
    <row r="509" spans="1:5" x14ac:dyDescent="0.3">
      <c r="A509" s="2">
        <v>45116</v>
      </c>
      <c r="B509">
        <v>1</v>
      </c>
      <c r="C509">
        <v>7</v>
      </c>
      <c r="D509">
        <v>2023</v>
      </c>
      <c r="E509">
        <v>1</v>
      </c>
    </row>
    <row r="510" spans="1:5" x14ac:dyDescent="0.3">
      <c r="A510" s="2">
        <v>45116</v>
      </c>
      <c r="B510">
        <v>1</v>
      </c>
      <c r="C510">
        <v>7</v>
      </c>
      <c r="D510">
        <v>2023</v>
      </c>
      <c r="E510">
        <v>1</v>
      </c>
    </row>
    <row r="511" spans="1:5" x14ac:dyDescent="0.3">
      <c r="A511" s="2">
        <v>45116</v>
      </c>
      <c r="B511">
        <v>1</v>
      </c>
      <c r="C511">
        <v>7</v>
      </c>
      <c r="D511">
        <v>2023</v>
      </c>
      <c r="E511">
        <v>1</v>
      </c>
    </row>
    <row r="512" spans="1:5" x14ac:dyDescent="0.3">
      <c r="A512" s="2">
        <v>45116</v>
      </c>
      <c r="B512">
        <v>1</v>
      </c>
      <c r="C512">
        <v>7</v>
      </c>
      <c r="D512">
        <v>2023</v>
      </c>
      <c r="E512">
        <v>2</v>
      </c>
    </row>
    <row r="513" spans="1:5" x14ac:dyDescent="0.3">
      <c r="A513" s="2">
        <v>45116</v>
      </c>
      <c r="B513">
        <v>1</v>
      </c>
      <c r="C513">
        <v>7</v>
      </c>
      <c r="D513">
        <v>2023</v>
      </c>
      <c r="E513">
        <v>1</v>
      </c>
    </row>
    <row r="514" spans="1:5" x14ac:dyDescent="0.3">
      <c r="A514" s="2">
        <v>45116</v>
      </c>
      <c r="B514">
        <v>1</v>
      </c>
      <c r="C514">
        <v>7</v>
      </c>
      <c r="D514">
        <v>2023</v>
      </c>
      <c r="E514">
        <v>2</v>
      </c>
    </row>
    <row r="515" spans="1:5" x14ac:dyDescent="0.3">
      <c r="A515" s="2">
        <v>45118</v>
      </c>
      <c r="B515">
        <v>3</v>
      </c>
      <c r="C515">
        <v>7</v>
      </c>
      <c r="D515">
        <v>2023</v>
      </c>
      <c r="E515">
        <v>1</v>
      </c>
    </row>
    <row r="516" spans="1:5" x14ac:dyDescent="0.3">
      <c r="A516" s="2">
        <v>45118</v>
      </c>
      <c r="B516">
        <v>3</v>
      </c>
      <c r="C516">
        <v>7</v>
      </c>
      <c r="D516">
        <v>2023</v>
      </c>
      <c r="E516">
        <v>3</v>
      </c>
    </row>
    <row r="517" spans="1:5" x14ac:dyDescent="0.3">
      <c r="A517" s="2">
        <v>45118</v>
      </c>
      <c r="B517">
        <v>3</v>
      </c>
      <c r="C517">
        <v>7</v>
      </c>
      <c r="D517">
        <v>2023</v>
      </c>
      <c r="E517">
        <v>1</v>
      </c>
    </row>
    <row r="518" spans="1:5" x14ac:dyDescent="0.3">
      <c r="A518" s="2">
        <v>45118</v>
      </c>
      <c r="B518">
        <v>3</v>
      </c>
      <c r="C518">
        <v>7</v>
      </c>
      <c r="D518">
        <v>2023</v>
      </c>
      <c r="E518">
        <v>5</v>
      </c>
    </row>
    <row r="519" spans="1:5" x14ac:dyDescent="0.3">
      <c r="A519" s="2">
        <v>45118</v>
      </c>
      <c r="B519">
        <v>3</v>
      </c>
      <c r="C519">
        <v>7</v>
      </c>
      <c r="D519">
        <v>2023</v>
      </c>
      <c r="E519">
        <v>3</v>
      </c>
    </row>
    <row r="520" spans="1:5" x14ac:dyDescent="0.3">
      <c r="A520" s="2">
        <v>45118</v>
      </c>
      <c r="B520">
        <v>3</v>
      </c>
      <c r="C520">
        <v>7</v>
      </c>
      <c r="D520">
        <v>2023</v>
      </c>
      <c r="E520">
        <v>1</v>
      </c>
    </row>
    <row r="521" spans="1:5" x14ac:dyDescent="0.3">
      <c r="A521" s="2">
        <v>45118</v>
      </c>
      <c r="B521">
        <v>3</v>
      </c>
      <c r="C521">
        <v>7</v>
      </c>
      <c r="D521">
        <v>2023</v>
      </c>
      <c r="E521">
        <v>2</v>
      </c>
    </row>
    <row r="522" spans="1:5" x14ac:dyDescent="0.3">
      <c r="A522" s="2">
        <v>45118</v>
      </c>
      <c r="B522">
        <v>3</v>
      </c>
      <c r="C522">
        <v>7</v>
      </c>
      <c r="D522">
        <v>2023</v>
      </c>
      <c r="E522">
        <v>2</v>
      </c>
    </row>
    <row r="523" spans="1:5" x14ac:dyDescent="0.3">
      <c r="A523" s="2">
        <v>45118</v>
      </c>
      <c r="B523">
        <v>3</v>
      </c>
      <c r="C523">
        <v>7</v>
      </c>
      <c r="D523">
        <v>2023</v>
      </c>
      <c r="E523">
        <v>3</v>
      </c>
    </row>
    <row r="524" spans="1:5" x14ac:dyDescent="0.3">
      <c r="A524" s="2">
        <v>45118</v>
      </c>
      <c r="B524">
        <v>3</v>
      </c>
      <c r="C524">
        <v>7</v>
      </c>
      <c r="D524">
        <v>2023</v>
      </c>
      <c r="E524">
        <v>1</v>
      </c>
    </row>
    <row r="525" spans="1:5" x14ac:dyDescent="0.3">
      <c r="A525" s="2">
        <v>45118</v>
      </c>
      <c r="B525">
        <v>3</v>
      </c>
      <c r="C525">
        <v>7</v>
      </c>
      <c r="D525">
        <v>2023</v>
      </c>
      <c r="E525">
        <v>5</v>
      </c>
    </row>
    <row r="526" spans="1:5" x14ac:dyDescent="0.3">
      <c r="A526" s="2">
        <v>45118</v>
      </c>
      <c r="B526">
        <v>3</v>
      </c>
      <c r="C526">
        <v>7</v>
      </c>
      <c r="D526">
        <v>2023</v>
      </c>
      <c r="E526">
        <v>3</v>
      </c>
    </row>
    <row r="527" spans="1:5" x14ac:dyDescent="0.3">
      <c r="A527" s="2">
        <v>45118</v>
      </c>
      <c r="B527">
        <v>3</v>
      </c>
      <c r="C527">
        <v>7</v>
      </c>
      <c r="D527">
        <v>2023</v>
      </c>
      <c r="E527">
        <v>1</v>
      </c>
    </row>
    <row r="528" spans="1:5" x14ac:dyDescent="0.3">
      <c r="A528" s="2">
        <v>45118</v>
      </c>
      <c r="B528">
        <v>3</v>
      </c>
      <c r="C528">
        <v>7</v>
      </c>
      <c r="D528">
        <v>2023</v>
      </c>
      <c r="E528">
        <v>1</v>
      </c>
    </row>
    <row r="529" spans="1:5" x14ac:dyDescent="0.3">
      <c r="A529" s="2">
        <v>45119</v>
      </c>
      <c r="B529">
        <v>4</v>
      </c>
      <c r="C529">
        <v>7</v>
      </c>
      <c r="D529">
        <v>2023</v>
      </c>
      <c r="E529">
        <v>1</v>
      </c>
    </row>
    <row r="530" spans="1:5" x14ac:dyDescent="0.3">
      <c r="A530" s="2">
        <v>45119</v>
      </c>
      <c r="B530">
        <v>4</v>
      </c>
      <c r="C530">
        <v>7</v>
      </c>
      <c r="D530">
        <v>2023</v>
      </c>
      <c r="E530">
        <v>1</v>
      </c>
    </row>
    <row r="531" spans="1:5" x14ac:dyDescent="0.3">
      <c r="A531" s="2">
        <v>45119</v>
      </c>
      <c r="B531">
        <v>4</v>
      </c>
      <c r="C531">
        <v>7</v>
      </c>
      <c r="D531">
        <v>2023</v>
      </c>
      <c r="E531">
        <v>1</v>
      </c>
    </row>
    <row r="532" spans="1:5" x14ac:dyDescent="0.3">
      <c r="A532" s="2">
        <v>45119</v>
      </c>
      <c r="B532">
        <v>4</v>
      </c>
      <c r="C532">
        <v>7</v>
      </c>
      <c r="D532">
        <v>2023</v>
      </c>
      <c r="E532">
        <v>3</v>
      </c>
    </row>
    <row r="533" spans="1:5" x14ac:dyDescent="0.3">
      <c r="A533" s="2">
        <v>45119</v>
      </c>
      <c r="B533">
        <v>4</v>
      </c>
      <c r="C533">
        <v>7</v>
      </c>
      <c r="D533">
        <v>2023</v>
      </c>
      <c r="E533">
        <v>1</v>
      </c>
    </row>
    <row r="534" spans="1:5" x14ac:dyDescent="0.3">
      <c r="A534" s="2">
        <v>45119</v>
      </c>
      <c r="B534">
        <v>4</v>
      </c>
      <c r="C534">
        <v>7</v>
      </c>
      <c r="D534">
        <v>2023</v>
      </c>
      <c r="E534">
        <v>2</v>
      </c>
    </row>
    <row r="535" spans="1:5" x14ac:dyDescent="0.3">
      <c r="A535" s="2">
        <v>45120</v>
      </c>
      <c r="B535">
        <v>5</v>
      </c>
      <c r="C535">
        <v>7</v>
      </c>
      <c r="D535">
        <v>2023</v>
      </c>
      <c r="E535">
        <v>1</v>
      </c>
    </row>
    <row r="536" spans="1:5" x14ac:dyDescent="0.3">
      <c r="A536" s="2">
        <v>45121</v>
      </c>
      <c r="B536">
        <v>6</v>
      </c>
      <c r="C536">
        <v>7</v>
      </c>
      <c r="D536">
        <v>2023</v>
      </c>
      <c r="E536">
        <v>1</v>
      </c>
    </row>
    <row r="537" spans="1:5" x14ac:dyDescent="0.3">
      <c r="A537" s="2">
        <v>45121</v>
      </c>
      <c r="B537">
        <v>6</v>
      </c>
      <c r="C537">
        <v>7</v>
      </c>
      <c r="D537">
        <v>2023</v>
      </c>
      <c r="E537">
        <v>2</v>
      </c>
    </row>
    <row r="538" spans="1:5" x14ac:dyDescent="0.3">
      <c r="A538" s="2">
        <v>45121</v>
      </c>
      <c r="B538">
        <v>6</v>
      </c>
      <c r="C538">
        <v>7</v>
      </c>
      <c r="D538">
        <v>2023</v>
      </c>
      <c r="E538">
        <v>1</v>
      </c>
    </row>
    <row r="539" spans="1:5" x14ac:dyDescent="0.3">
      <c r="A539" s="2">
        <v>45122</v>
      </c>
      <c r="B539">
        <v>7</v>
      </c>
      <c r="C539">
        <v>7</v>
      </c>
      <c r="D539">
        <v>2023</v>
      </c>
      <c r="E539">
        <v>4</v>
      </c>
    </row>
    <row r="540" spans="1:5" x14ac:dyDescent="0.3">
      <c r="A540" s="2">
        <v>45122</v>
      </c>
      <c r="B540">
        <v>7</v>
      </c>
      <c r="C540">
        <v>7</v>
      </c>
      <c r="D540">
        <v>2023</v>
      </c>
      <c r="E540">
        <v>1</v>
      </c>
    </row>
    <row r="541" spans="1:5" x14ac:dyDescent="0.3">
      <c r="A541" s="2">
        <v>45122</v>
      </c>
      <c r="B541">
        <v>7</v>
      </c>
      <c r="C541">
        <v>7</v>
      </c>
      <c r="D541">
        <v>2023</v>
      </c>
      <c r="E541">
        <v>1</v>
      </c>
    </row>
    <row r="542" spans="1:5" x14ac:dyDescent="0.3">
      <c r="A542" s="2">
        <v>45122</v>
      </c>
      <c r="B542">
        <v>7</v>
      </c>
      <c r="C542">
        <v>7</v>
      </c>
      <c r="D542">
        <v>2023</v>
      </c>
      <c r="E542">
        <v>2</v>
      </c>
    </row>
    <row r="543" spans="1:5" x14ac:dyDescent="0.3">
      <c r="A543" s="2">
        <v>45122</v>
      </c>
      <c r="B543">
        <v>7</v>
      </c>
      <c r="C543">
        <v>7</v>
      </c>
      <c r="D543">
        <v>2023</v>
      </c>
      <c r="E543">
        <v>1</v>
      </c>
    </row>
    <row r="544" spans="1:5" x14ac:dyDescent="0.3">
      <c r="A544" s="2">
        <v>45123</v>
      </c>
      <c r="B544">
        <v>1</v>
      </c>
      <c r="C544">
        <v>7</v>
      </c>
      <c r="D544">
        <v>2023</v>
      </c>
      <c r="E544">
        <v>2</v>
      </c>
    </row>
    <row r="545" spans="1:5" x14ac:dyDescent="0.3">
      <c r="A545" s="2">
        <v>45123</v>
      </c>
      <c r="B545">
        <v>1</v>
      </c>
      <c r="C545">
        <v>7</v>
      </c>
      <c r="D545">
        <v>2023</v>
      </c>
      <c r="E545">
        <v>2</v>
      </c>
    </row>
    <row r="546" spans="1:5" x14ac:dyDescent="0.3">
      <c r="A546" s="2">
        <v>45123</v>
      </c>
      <c r="B546">
        <v>1</v>
      </c>
      <c r="C546">
        <v>7</v>
      </c>
      <c r="D546">
        <v>2023</v>
      </c>
      <c r="E546">
        <v>1</v>
      </c>
    </row>
    <row r="547" spans="1:5" x14ac:dyDescent="0.3">
      <c r="A547" s="2">
        <v>45123</v>
      </c>
      <c r="B547">
        <v>1</v>
      </c>
      <c r="C547">
        <v>7</v>
      </c>
      <c r="D547">
        <v>2023</v>
      </c>
      <c r="E547">
        <v>1</v>
      </c>
    </row>
    <row r="548" spans="1:5" x14ac:dyDescent="0.3">
      <c r="A548" s="2">
        <v>45123</v>
      </c>
      <c r="B548">
        <v>1</v>
      </c>
      <c r="C548">
        <v>7</v>
      </c>
      <c r="D548">
        <v>2023</v>
      </c>
      <c r="E548">
        <v>2</v>
      </c>
    </row>
    <row r="549" spans="1:5" x14ac:dyDescent="0.3">
      <c r="A549" s="2">
        <v>45123</v>
      </c>
      <c r="B549">
        <v>1</v>
      </c>
      <c r="C549">
        <v>7</v>
      </c>
      <c r="D549">
        <v>2023</v>
      </c>
      <c r="E549">
        <v>1</v>
      </c>
    </row>
    <row r="550" spans="1:5" x14ac:dyDescent="0.3">
      <c r="A550" s="2">
        <v>45124</v>
      </c>
      <c r="B550">
        <v>2</v>
      </c>
      <c r="C550">
        <v>7</v>
      </c>
      <c r="D550">
        <v>2023</v>
      </c>
      <c r="E550">
        <v>1</v>
      </c>
    </row>
    <row r="551" spans="1:5" x14ac:dyDescent="0.3">
      <c r="A551" s="2">
        <v>45124</v>
      </c>
      <c r="B551">
        <v>2</v>
      </c>
      <c r="C551">
        <v>7</v>
      </c>
      <c r="D551">
        <v>2023</v>
      </c>
      <c r="E551">
        <v>1</v>
      </c>
    </row>
    <row r="552" spans="1:5" x14ac:dyDescent="0.3">
      <c r="A552" s="2">
        <v>45125</v>
      </c>
      <c r="B552">
        <v>3</v>
      </c>
      <c r="C552">
        <v>7</v>
      </c>
      <c r="D552">
        <v>2023</v>
      </c>
      <c r="E552">
        <v>3</v>
      </c>
    </row>
    <row r="553" spans="1:5" x14ac:dyDescent="0.3">
      <c r="A553" s="2">
        <v>45126</v>
      </c>
      <c r="B553">
        <v>4</v>
      </c>
      <c r="C553">
        <v>7</v>
      </c>
      <c r="D553">
        <v>2023</v>
      </c>
      <c r="E553">
        <v>2</v>
      </c>
    </row>
    <row r="554" spans="1:5" x14ac:dyDescent="0.3">
      <c r="A554" s="2">
        <v>45126</v>
      </c>
      <c r="B554">
        <v>4</v>
      </c>
      <c r="C554">
        <v>7</v>
      </c>
      <c r="D554">
        <v>2023</v>
      </c>
      <c r="E554">
        <v>1</v>
      </c>
    </row>
    <row r="555" spans="1:5" x14ac:dyDescent="0.3">
      <c r="A555" s="2">
        <v>45126</v>
      </c>
      <c r="B555">
        <v>4</v>
      </c>
      <c r="C555">
        <v>7</v>
      </c>
      <c r="D555">
        <v>2023</v>
      </c>
      <c r="E555">
        <v>1</v>
      </c>
    </row>
    <row r="556" spans="1:5" x14ac:dyDescent="0.3">
      <c r="A556" s="2">
        <v>45126</v>
      </c>
      <c r="B556">
        <v>4</v>
      </c>
      <c r="C556">
        <v>7</v>
      </c>
      <c r="D556">
        <v>2023</v>
      </c>
      <c r="E556">
        <v>1</v>
      </c>
    </row>
    <row r="557" spans="1:5" x14ac:dyDescent="0.3">
      <c r="A557" s="2">
        <v>45127</v>
      </c>
      <c r="B557">
        <v>5</v>
      </c>
      <c r="C557">
        <v>7</v>
      </c>
      <c r="D557">
        <v>2023</v>
      </c>
      <c r="E557">
        <v>2</v>
      </c>
    </row>
    <row r="558" spans="1:5" x14ac:dyDescent="0.3">
      <c r="A558" s="2">
        <v>45127</v>
      </c>
      <c r="B558">
        <v>5</v>
      </c>
      <c r="C558">
        <v>7</v>
      </c>
      <c r="D558">
        <v>2023</v>
      </c>
      <c r="E558">
        <v>1</v>
      </c>
    </row>
    <row r="559" spans="1:5" x14ac:dyDescent="0.3">
      <c r="A559" s="2">
        <v>45127</v>
      </c>
      <c r="B559">
        <v>5</v>
      </c>
      <c r="C559">
        <v>7</v>
      </c>
      <c r="D559">
        <v>2023</v>
      </c>
      <c r="E559">
        <v>1</v>
      </c>
    </row>
    <row r="560" spans="1:5" x14ac:dyDescent="0.3">
      <c r="A560" s="2">
        <v>45127</v>
      </c>
      <c r="B560">
        <v>5</v>
      </c>
      <c r="C560">
        <v>7</v>
      </c>
      <c r="D560">
        <v>2023</v>
      </c>
      <c r="E560">
        <v>1</v>
      </c>
    </row>
    <row r="561" spans="1:5" x14ac:dyDescent="0.3">
      <c r="A561" s="2">
        <v>45128</v>
      </c>
      <c r="B561">
        <v>6</v>
      </c>
      <c r="C561">
        <v>7</v>
      </c>
      <c r="D561">
        <v>2023</v>
      </c>
      <c r="E561">
        <v>2</v>
      </c>
    </row>
    <row r="562" spans="1:5" x14ac:dyDescent="0.3">
      <c r="A562" s="2">
        <v>45128</v>
      </c>
      <c r="B562">
        <v>6</v>
      </c>
      <c r="C562">
        <v>7</v>
      </c>
      <c r="D562">
        <v>2023</v>
      </c>
      <c r="E562">
        <v>1</v>
      </c>
    </row>
    <row r="563" spans="1:5" x14ac:dyDescent="0.3">
      <c r="A563" s="2">
        <v>45128</v>
      </c>
      <c r="B563">
        <v>6</v>
      </c>
      <c r="C563">
        <v>7</v>
      </c>
      <c r="D563">
        <v>2023</v>
      </c>
      <c r="E563">
        <v>1</v>
      </c>
    </row>
    <row r="564" spans="1:5" x14ac:dyDescent="0.3">
      <c r="A564" s="2">
        <v>45128</v>
      </c>
      <c r="B564">
        <v>6</v>
      </c>
      <c r="C564">
        <v>7</v>
      </c>
      <c r="D564">
        <v>2023</v>
      </c>
      <c r="E564">
        <v>2</v>
      </c>
    </row>
    <row r="565" spans="1:5" x14ac:dyDescent="0.3">
      <c r="A565" s="2">
        <v>45129</v>
      </c>
      <c r="B565">
        <v>7</v>
      </c>
      <c r="C565">
        <v>7</v>
      </c>
      <c r="D565">
        <v>2023</v>
      </c>
      <c r="E565">
        <v>3</v>
      </c>
    </row>
    <row r="566" spans="1:5" x14ac:dyDescent="0.3">
      <c r="A566" s="2">
        <v>45129</v>
      </c>
      <c r="B566">
        <v>7</v>
      </c>
      <c r="C566">
        <v>7</v>
      </c>
      <c r="D566">
        <v>2023</v>
      </c>
      <c r="E566">
        <v>1</v>
      </c>
    </row>
    <row r="567" spans="1:5" x14ac:dyDescent="0.3">
      <c r="A567" s="2">
        <v>45129</v>
      </c>
      <c r="B567">
        <v>7</v>
      </c>
      <c r="C567">
        <v>7</v>
      </c>
      <c r="D567">
        <v>2023</v>
      </c>
      <c r="E567">
        <v>5</v>
      </c>
    </row>
    <row r="568" spans="1:5" x14ac:dyDescent="0.3">
      <c r="A568" s="2">
        <v>45132</v>
      </c>
      <c r="B568">
        <v>3</v>
      </c>
      <c r="C568">
        <v>7</v>
      </c>
      <c r="D568">
        <v>2023</v>
      </c>
      <c r="E568">
        <v>3</v>
      </c>
    </row>
    <row r="569" spans="1:5" x14ac:dyDescent="0.3">
      <c r="A569" s="2">
        <v>45132</v>
      </c>
      <c r="B569">
        <v>3</v>
      </c>
      <c r="C569">
        <v>7</v>
      </c>
      <c r="D569">
        <v>2023</v>
      </c>
      <c r="E569">
        <v>1</v>
      </c>
    </row>
    <row r="570" spans="1:5" x14ac:dyDescent="0.3">
      <c r="A570" s="2">
        <v>45132</v>
      </c>
      <c r="B570">
        <v>3</v>
      </c>
      <c r="C570">
        <v>7</v>
      </c>
      <c r="D570">
        <v>2023</v>
      </c>
      <c r="E570">
        <v>2</v>
      </c>
    </row>
    <row r="571" spans="1:5" x14ac:dyDescent="0.3">
      <c r="A571" s="2">
        <v>45132</v>
      </c>
      <c r="B571">
        <v>3</v>
      </c>
      <c r="C571">
        <v>7</v>
      </c>
      <c r="D571">
        <v>2023</v>
      </c>
      <c r="E571">
        <v>2</v>
      </c>
    </row>
    <row r="572" spans="1:5" x14ac:dyDescent="0.3">
      <c r="A572" s="2">
        <v>45133</v>
      </c>
      <c r="B572">
        <v>4</v>
      </c>
      <c r="C572">
        <v>7</v>
      </c>
      <c r="D572">
        <v>2023</v>
      </c>
      <c r="E572">
        <v>2</v>
      </c>
    </row>
    <row r="573" spans="1:5" x14ac:dyDescent="0.3">
      <c r="A573" s="2">
        <v>45133</v>
      </c>
      <c r="B573">
        <v>4</v>
      </c>
      <c r="C573">
        <v>7</v>
      </c>
      <c r="D573">
        <v>2023</v>
      </c>
      <c r="E573">
        <v>1</v>
      </c>
    </row>
    <row r="574" spans="1:5" x14ac:dyDescent="0.3">
      <c r="A574" s="2">
        <v>45134</v>
      </c>
      <c r="B574">
        <v>5</v>
      </c>
      <c r="C574">
        <v>7</v>
      </c>
      <c r="D574">
        <v>2023</v>
      </c>
      <c r="E574">
        <v>3</v>
      </c>
    </row>
    <row r="575" spans="1:5" x14ac:dyDescent="0.3">
      <c r="A575" s="2">
        <v>45134</v>
      </c>
      <c r="B575">
        <v>5</v>
      </c>
      <c r="C575">
        <v>7</v>
      </c>
      <c r="D575">
        <v>2023</v>
      </c>
      <c r="E575">
        <v>1</v>
      </c>
    </row>
    <row r="576" spans="1:5" x14ac:dyDescent="0.3">
      <c r="A576" s="2">
        <v>45134</v>
      </c>
      <c r="B576">
        <v>5</v>
      </c>
      <c r="C576">
        <v>7</v>
      </c>
      <c r="D576">
        <v>2023</v>
      </c>
      <c r="E576">
        <v>1</v>
      </c>
    </row>
    <row r="577" spans="1:5" x14ac:dyDescent="0.3">
      <c r="A577" s="2">
        <v>45135</v>
      </c>
      <c r="B577">
        <v>6</v>
      </c>
      <c r="C577">
        <v>7</v>
      </c>
      <c r="D577">
        <v>2023</v>
      </c>
      <c r="E577">
        <v>1</v>
      </c>
    </row>
    <row r="578" spans="1:5" x14ac:dyDescent="0.3">
      <c r="A578" s="2">
        <v>45135</v>
      </c>
      <c r="B578">
        <v>6</v>
      </c>
      <c r="C578">
        <v>7</v>
      </c>
      <c r="D578">
        <v>2023</v>
      </c>
      <c r="E578">
        <v>1</v>
      </c>
    </row>
    <row r="579" spans="1:5" x14ac:dyDescent="0.3">
      <c r="A579" s="2">
        <v>45136</v>
      </c>
      <c r="B579">
        <v>7</v>
      </c>
      <c r="C579">
        <v>7</v>
      </c>
      <c r="D579">
        <v>2023</v>
      </c>
      <c r="E579">
        <v>1</v>
      </c>
    </row>
    <row r="580" spans="1:5" x14ac:dyDescent="0.3">
      <c r="A580" s="2">
        <v>45136</v>
      </c>
      <c r="B580">
        <v>7</v>
      </c>
      <c r="C580">
        <v>7</v>
      </c>
      <c r="D580">
        <v>2023</v>
      </c>
      <c r="E580">
        <v>2</v>
      </c>
    </row>
    <row r="581" spans="1:5" x14ac:dyDescent="0.3">
      <c r="A581" s="2">
        <v>45136</v>
      </c>
      <c r="B581">
        <v>7</v>
      </c>
      <c r="C581">
        <v>7</v>
      </c>
      <c r="D581">
        <v>2023</v>
      </c>
      <c r="E581">
        <v>1</v>
      </c>
    </row>
    <row r="582" spans="1:5" x14ac:dyDescent="0.3">
      <c r="A582" s="2">
        <v>45136</v>
      </c>
      <c r="B582">
        <v>7</v>
      </c>
      <c r="C582">
        <v>7</v>
      </c>
      <c r="D582">
        <v>2023</v>
      </c>
      <c r="E582">
        <v>1</v>
      </c>
    </row>
    <row r="583" spans="1:5" x14ac:dyDescent="0.3">
      <c r="A583" s="2">
        <v>45136</v>
      </c>
      <c r="B583">
        <v>7</v>
      </c>
      <c r="C583">
        <v>7</v>
      </c>
      <c r="D583">
        <v>2023</v>
      </c>
      <c r="E583">
        <v>1</v>
      </c>
    </row>
    <row r="584" spans="1:5" x14ac:dyDescent="0.3">
      <c r="A584" s="2">
        <v>45136</v>
      </c>
      <c r="B584">
        <v>7</v>
      </c>
      <c r="C584">
        <v>7</v>
      </c>
      <c r="D584">
        <v>2023</v>
      </c>
      <c r="E584">
        <v>4</v>
      </c>
    </row>
    <row r="585" spans="1:5" x14ac:dyDescent="0.3">
      <c r="A585" s="2">
        <v>45137</v>
      </c>
      <c r="B585">
        <v>1</v>
      </c>
      <c r="C585">
        <v>7</v>
      </c>
      <c r="D585">
        <v>2023</v>
      </c>
      <c r="E585">
        <v>1</v>
      </c>
    </row>
    <row r="586" spans="1:5" x14ac:dyDescent="0.3">
      <c r="A586" s="2">
        <v>45137</v>
      </c>
      <c r="B586">
        <v>1</v>
      </c>
      <c r="C586">
        <v>7</v>
      </c>
      <c r="D586">
        <v>2023</v>
      </c>
      <c r="E586">
        <v>1</v>
      </c>
    </row>
    <row r="587" spans="1:5" x14ac:dyDescent="0.3">
      <c r="A587" s="2">
        <v>45137</v>
      </c>
      <c r="B587">
        <v>1</v>
      </c>
      <c r="C587">
        <v>7</v>
      </c>
      <c r="D587">
        <v>2023</v>
      </c>
      <c r="E587">
        <v>1</v>
      </c>
    </row>
    <row r="588" spans="1:5" x14ac:dyDescent="0.3">
      <c r="A588" s="2">
        <v>45137</v>
      </c>
      <c r="B588">
        <v>1</v>
      </c>
      <c r="C588">
        <v>7</v>
      </c>
      <c r="D588">
        <v>2023</v>
      </c>
      <c r="E588">
        <v>2</v>
      </c>
    </row>
    <row r="589" spans="1:5" x14ac:dyDescent="0.3">
      <c r="A589" s="2">
        <v>45137</v>
      </c>
      <c r="B589">
        <v>1</v>
      </c>
      <c r="C589">
        <v>7</v>
      </c>
      <c r="D589">
        <v>2023</v>
      </c>
      <c r="E589">
        <v>1</v>
      </c>
    </row>
    <row r="590" spans="1:5" x14ac:dyDescent="0.3">
      <c r="A590" s="2">
        <v>45137</v>
      </c>
      <c r="B590">
        <v>1</v>
      </c>
      <c r="C590">
        <v>7</v>
      </c>
      <c r="D590">
        <v>2023</v>
      </c>
      <c r="E590">
        <v>1</v>
      </c>
    </row>
    <row r="591" spans="1:5" x14ac:dyDescent="0.3">
      <c r="A591" s="2">
        <v>45137</v>
      </c>
      <c r="B591">
        <v>1</v>
      </c>
      <c r="C591">
        <v>7</v>
      </c>
      <c r="D591">
        <v>2023</v>
      </c>
      <c r="E591">
        <v>2</v>
      </c>
    </row>
    <row r="592" spans="1:5" x14ac:dyDescent="0.3">
      <c r="A592" s="2">
        <v>45139</v>
      </c>
      <c r="B592">
        <v>3</v>
      </c>
      <c r="C592">
        <v>8</v>
      </c>
      <c r="D592">
        <v>2023</v>
      </c>
      <c r="E592">
        <v>1</v>
      </c>
    </row>
    <row r="593" spans="1:5" x14ac:dyDescent="0.3">
      <c r="A593" s="2">
        <v>45139</v>
      </c>
      <c r="B593">
        <v>3</v>
      </c>
      <c r="C593">
        <v>8</v>
      </c>
      <c r="D593">
        <v>2023</v>
      </c>
      <c r="E593">
        <v>2</v>
      </c>
    </row>
    <row r="594" spans="1:5" x14ac:dyDescent="0.3">
      <c r="A594" s="2">
        <v>45139</v>
      </c>
      <c r="B594">
        <v>3</v>
      </c>
      <c r="C594">
        <v>8</v>
      </c>
      <c r="D594">
        <v>2023</v>
      </c>
      <c r="E594">
        <v>2</v>
      </c>
    </row>
    <row r="595" spans="1:5" x14ac:dyDescent="0.3">
      <c r="A595" s="2">
        <v>45139</v>
      </c>
      <c r="B595">
        <v>3</v>
      </c>
      <c r="C595">
        <v>8</v>
      </c>
      <c r="D595">
        <v>2023</v>
      </c>
      <c r="E595">
        <v>1</v>
      </c>
    </row>
    <row r="596" spans="1:5" x14ac:dyDescent="0.3">
      <c r="A596" s="2">
        <v>45139</v>
      </c>
      <c r="B596">
        <v>3</v>
      </c>
      <c r="C596">
        <v>8</v>
      </c>
      <c r="D596">
        <v>2023</v>
      </c>
      <c r="E596">
        <v>1</v>
      </c>
    </row>
    <row r="597" spans="1:5" x14ac:dyDescent="0.3">
      <c r="A597" s="2">
        <v>45139</v>
      </c>
      <c r="B597">
        <v>3</v>
      </c>
      <c r="C597">
        <v>8</v>
      </c>
      <c r="D597">
        <v>2023</v>
      </c>
      <c r="E597">
        <v>1</v>
      </c>
    </row>
    <row r="598" spans="1:5" x14ac:dyDescent="0.3">
      <c r="A598" s="2">
        <v>45140</v>
      </c>
      <c r="B598">
        <v>4</v>
      </c>
      <c r="C598">
        <v>8</v>
      </c>
      <c r="D598">
        <v>2023</v>
      </c>
      <c r="E598">
        <v>1</v>
      </c>
    </row>
    <row r="599" spans="1:5" x14ac:dyDescent="0.3">
      <c r="A599" s="2">
        <v>45140</v>
      </c>
      <c r="B599">
        <v>4</v>
      </c>
      <c r="C599">
        <v>8</v>
      </c>
      <c r="D599">
        <v>2023</v>
      </c>
      <c r="E599">
        <v>3</v>
      </c>
    </row>
    <row r="600" spans="1:5" x14ac:dyDescent="0.3">
      <c r="A600" s="2">
        <v>45140</v>
      </c>
      <c r="B600">
        <v>4</v>
      </c>
      <c r="C600">
        <v>8</v>
      </c>
      <c r="D600">
        <v>2023</v>
      </c>
      <c r="E600">
        <v>1</v>
      </c>
    </row>
    <row r="601" spans="1:5" x14ac:dyDescent="0.3">
      <c r="A601" s="2">
        <v>45140</v>
      </c>
      <c r="B601">
        <v>4</v>
      </c>
      <c r="C601">
        <v>8</v>
      </c>
      <c r="D601">
        <v>2023</v>
      </c>
      <c r="E601">
        <v>2</v>
      </c>
    </row>
    <row r="602" spans="1:5" x14ac:dyDescent="0.3">
      <c r="A602" s="2">
        <v>45140</v>
      </c>
      <c r="B602">
        <v>4</v>
      </c>
      <c r="C602">
        <v>8</v>
      </c>
      <c r="D602">
        <v>2023</v>
      </c>
      <c r="E602">
        <v>1</v>
      </c>
    </row>
    <row r="603" spans="1:5" x14ac:dyDescent="0.3">
      <c r="A603" s="2">
        <v>45140</v>
      </c>
      <c r="B603">
        <v>4</v>
      </c>
      <c r="C603">
        <v>8</v>
      </c>
      <c r="D603">
        <v>2023</v>
      </c>
      <c r="E603">
        <v>1</v>
      </c>
    </row>
    <row r="604" spans="1:5" x14ac:dyDescent="0.3">
      <c r="A604" s="2">
        <v>45140</v>
      </c>
      <c r="B604">
        <v>4</v>
      </c>
      <c r="C604">
        <v>8</v>
      </c>
      <c r="D604">
        <v>2023</v>
      </c>
      <c r="E604">
        <v>1</v>
      </c>
    </row>
    <row r="605" spans="1:5" x14ac:dyDescent="0.3">
      <c r="A605" s="2">
        <v>45141</v>
      </c>
      <c r="B605">
        <v>5</v>
      </c>
      <c r="C605">
        <v>8</v>
      </c>
      <c r="D605">
        <v>2023</v>
      </c>
      <c r="E605">
        <v>1</v>
      </c>
    </row>
    <row r="606" spans="1:5" x14ac:dyDescent="0.3">
      <c r="A606" s="2">
        <v>45141</v>
      </c>
      <c r="B606">
        <v>5</v>
      </c>
      <c r="C606">
        <v>8</v>
      </c>
      <c r="D606">
        <v>2023</v>
      </c>
      <c r="E606">
        <v>1</v>
      </c>
    </row>
    <row r="607" spans="1:5" x14ac:dyDescent="0.3">
      <c r="A607" s="2">
        <v>45141</v>
      </c>
      <c r="B607">
        <v>5</v>
      </c>
      <c r="C607">
        <v>8</v>
      </c>
      <c r="D607">
        <v>2023</v>
      </c>
      <c r="E607">
        <v>1</v>
      </c>
    </row>
    <row r="608" spans="1:5" x14ac:dyDescent="0.3">
      <c r="A608" s="2">
        <v>45143</v>
      </c>
      <c r="B608">
        <v>7</v>
      </c>
      <c r="C608">
        <v>8</v>
      </c>
      <c r="D608">
        <v>2023</v>
      </c>
      <c r="E608">
        <v>2</v>
      </c>
    </row>
    <row r="609" spans="1:5" x14ac:dyDescent="0.3">
      <c r="A609" s="2">
        <v>45143</v>
      </c>
      <c r="B609">
        <v>7</v>
      </c>
      <c r="C609">
        <v>8</v>
      </c>
      <c r="D609">
        <v>2023</v>
      </c>
      <c r="E609">
        <v>1</v>
      </c>
    </row>
    <row r="610" spans="1:5" x14ac:dyDescent="0.3">
      <c r="A610" s="2">
        <v>45143</v>
      </c>
      <c r="B610">
        <v>7</v>
      </c>
      <c r="C610">
        <v>8</v>
      </c>
      <c r="D610">
        <v>2023</v>
      </c>
      <c r="E610">
        <v>1</v>
      </c>
    </row>
    <row r="611" spans="1:5" x14ac:dyDescent="0.3">
      <c r="A611" s="2">
        <v>45143</v>
      </c>
      <c r="B611">
        <v>7</v>
      </c>
      <c r="C611">
        <v>8</v>
      </c>
      <c r="D611">
        <v>2023</v>
      </c>
      <c r="E611">
        <v>1</v>
      </c>
    </row>
    <row r="612" spans="1:5" x14ac:dyDescent="0.3">
      <c r="A612" s="2">
        <v>45143</v>
      </c>
      <c r="B612">
        <v>7</v>
      </c>
      <c r="C612">
        <v>8</v>
      </c>
      <c r="D612">
        <v>2023</v>
      </c>
      <c r="E612">
        <v>2</v>
      </c>
    </row>
    <row r="613" spans="1:5" x14ac:dyDescent="0.3">
      <c r="A613" s="2">
        <v>45143</v>
      </c>
      <c r="B613">
        <v>7</v>
      </c>
      <c r="C613">
        <v>8</v>
      </c>
      <c r="D613">
        <v>2023</v>
      </c>
      <c r="E613">
        <v>1</v>
      </c>
    </row>
    <row r="614" spans="1:5" x14ac:dyDescent="0.3">
      <c r="A614" s="2">
        <v>45143</v>
      </c>
      <c r="B614">
        <v>7</v>
      </c>
      <c r="C614">
        <v>8</v>
      </c>
      <c r="D614">
        <v>2023</v>
      </c>
      <c r="E614">
        <v>2</v>
      </c>
    </row>
    <row r="615" spans="1:5" x14ac:dyDescent="0.3">
      <c r="A615" s="2">
        <v>45144</v>
      </c>
      <c r="B615">
        <v>1</v>
      </c>
      <c r="C615">
        <v>8</v>
      </c>
      <c r="D615">
        <v>2023</v>
      </c>
      <c r="E615">
        <v>1</v>
      </c>
    </row>
    <row r="616" spans="1:5" x14ac:dyDescent="0.3">
      <c r="A616" s="2">
        <v>45144</v>
      </c>
      <c r="B616">
        <v>1</v>
      </c>
      <c r="C616">
        <v>8</v>
      </c>
      <c r="D616">
        <v>2023</v>
      </c>
      <c r="E616">
        <v>1</v>
      </c>
    </row>
    <row r="617" spans="1:5" x14ac:dyDescent="0.3">
      <c r="A617" s="2">
        <v>45145</v>
      </c>
      <c r="B617">
        <v>2</v>
      </c>
      <c r="C617">
        <v>8</v>
      </c>
      <c r="D617">
        <v>2023</v>
      </c>
      <c r="E617">
        <v>2</v>
      </c>
    </row>
    <row r="618" spans="1:5" x14ac:dyDescent="0.3">
      <c r="A618" s="2">
        <v>45145</v>
      </c>
      <c r="B618">
        <v>2</v>
      </c>
      <c r="C618">
        <v>8</v>
      </c>
      <c r="D618">
        <v>2023</v>
      </c>
      <c r="E618">
        <v>1</v>
      </c>
    </row>
    <row r="619" spans="1:5" x14ac:dyDescent="0.3">
      <c r="A619" s="2">
        <v>45145</v>
      </c>
      <c r="B619">
        <v>2</v>
      </c>
      <c r="C619">
        <v>8</v>
      </c>
      <c r="D619">
        <v>2023</v>
      </c>
      <c r="E619">
        <v>1</v>
      </c>
    </row>
    <row r="620" spans="1:5" x14ac:dyDescent="0.3">
      <c r="A620" s="2">
        <v>45145</v>
      </c>
      <c r="B620">
        <v>2</v>
      </c>
      <c r="C620">
        <v>8</v>
      </c>
      <c r="D620">
        <v>2023</v>
      </c>
      <c r="E620">
        <v>1</v>
      </c>
    </row>
    <row r="621" spans="1:5" x14ac:dyDescent="0.3">
      <c r="A621" s="2">
        <v>45145</v>
      </c>
      <c r="B621">
        <v>2</v>
      </c>
      <c r="C621">
        <v>8</v>
      </c>
      <c r="D621">
        <v>2023</v>
      </c>
      <c r="E621">
        <v>1</v>
      </c>
    </row>
    <row r="622" spans="1:5" x14ac:dyDescent="0.3">
      <c r="A622" s="2">
        <v>45145</v>
      </c>
      <c r="B622">
        <v>2</v>
      </c>
      <c r="C622">
        <v>8</v>
      </c>
      <c r="D622">
        <v>2023</v>
      </c>
      <c r="E622">
        <v>2</v>
      </c>
    </row>
    <row r="623" spans="1:5" x14ac:dyDescent="0.3">
      <c r="A623" s="2">
        <v>45146</v>
      </c>
      <c r="B623">
        <v>3</v>
      </c>
      <c r="C623">
        <v>8</v>
      </c>
      <c r="D623">
        <v>2023</v>
      </c>
      <c r="E623">
        <v>1</v>
      </c>
    </row>
    <row r="624" spans="1:5" x14ac:dyDescent="0.3">
      <c r="A624" s="2">
        <v>45146</v>
      </c>
      <c r="B624">
        <v>3</v>
      </c>
      <c r="C624">
        <v>8</v>
      </c>
      <c r="D624">
        <v>2023</v>
      </c>
      <c r="E624">
        <v>1</v>
      </c>
    </row>
    <row r="625" spans="1:5" x14ac:dyDescent="0.3">
      <c r="A625" s="2">
        <v>45147</v>
      </c>
      <c r="B625">
        <v>4</v>
      </c>
      <c r="C625">
        <v>8</v>
      </c>
      <c r="D625">
        <v>2023</v>
      </c>
      <c r="E625">
        <v>1</v>
      </c>
    </row>
    <row r="626" spans="1:5" x14ac:dyDescent="0.3">
      <c r="A626" s="2">
        <v>45147</v>
      </c>
      <c r="B626">
        <v>4</v>
      </c>
      <c r="C626">
        <v>8</v>
      </c>
      <c r="D626">
        <v>2023</v>
      </c>
      <c r="E626">
        <v>2</v>
      </c>
    </row>
    <row r="627" spans="1:5" x14ac:dyDescent="0.3">
      <c r="A627" s="2">
        <v>45148</v>
      </c>
      <c r="B627">
        <v>5</v>
      </c>
      <c r="C627">
        <v>8</v>
      </c>
      <c r="D627">
        <v>2023</v>
      </c>
      <c r="E627">
        <v>1</v>
      </c>
    </row>
    <row r="628" spans="1:5" x14ac:dyDescent="0.3">
      <c r="A628" s="2">
        <v>45148</v>
      </c>
      <c r="B628">
        <v>5</v>
      </c>
      <c r="C628">
        <v>8</v>
      </c>
      <c r="D628">
        <v>2023</v>
      </c>
      <c r="E628">
        <v>1</v>
      </c>
    </row>
    <row r="629" spans="1:5" x14ac:dyDescent="0.3">
      <c r="A629" s="2">
        <v>45148</v>
      </c>
      <c r="B629">
        <v>5</v>
      </c>
      <c r="C629">
        <v>8</v>
      </c>
      <c r="D629">
        <v>2023</v>
      </c>
      <c r="E629">
        <v>1</v>
      </c>
    </row>
    <row r="630" spans="1:5" x14ac:dyDescent="0.3">
      <c r="A630" s="2">
        <v>45148</v>
      </c>
      <c r="B630">
        <v>5</v>
      </c>
      <c r="C630">
        <v>8</v>
      </c>
      <c r="D630">
        <v>2023</v>
      </c>
      <c r="E630">
        <v>1</v>
      </c>
    </row>
    <row r="631" spans="1:5" x14ac:dyDescent="0.3">
      <c r="A631" s="2">
        <v>45149</v>
      </c>
      <c r="B631">
        <v>6</v>
      </c>
      <c r="C631">
        <v>8</v>
      </c>
      <c r="D631">
        <v>2023</v>
      </c>
      <c r="E631">
        <v>2</v>
      </c>
    </row>
    <row r="632" spans="1:5" x14ac:dyDescent="0.3">
      <c r="A632" s="2">
        <v>45149</v>
      </c>
      <c r="B632">
        <v>6</v>
      </c>
      <c r="C632">
        <v>8</v>
      </c>
      <c r="D632">
        <v>2023</v>
      </c>
      <c r="E632">
        <v>1</v>
      </c>
    </row>
    <row r="633" spans="1:5" x14ac:dyDescent="0.3">
      <c r="A633" s="2">
        <v>45149</v>
      </c>
      <c r="B633">
        <v>6</v>
      </c>
      <c r="C633">
        <v>8</v>
      </c>
      <c r="D633">
        <v>2023</v>
      </c>
      <c r="E633">
        <v>2</v>
      </c>
    </row>
    <row r="634" spans="1:5" x14ac:dyDescent="0.3">
      <c r="A634" s="2">
        <v>45149</v>
      </c>
      <c r="B634">
        <v>6</v>
      </c>
      <c r="C634">
        <v>8</v>
      </c>
      <c r="D634">
        <v>2023</v>
      </c>
      <c r="E634">
        <v>1</v>
      </c>
    </row>
    <row r="635" spans="1:5" x14ac:dyDescent="0.3">
      <c r="A635" s="2">
        <v>45150</v>
      </c>
      <c r="B635">
        <v>7</v>
      </c>
      <c r="C635">
        <v>8</v>
      </c>
      <c r="D635">
        <v>2023</v>
      </c>
      <c r="E635">
        <v>1</v>
      </c>
    </row>
    <row r="636" spans="1:5" x14ac:dyDescent="0.3">
      <c r="A636" s="2">
        <v>45157</v>
      </c>
      <c r="B636">
        <v>7</v>
      </c>
      <c r="C636">
        <v>8</v>
      </c>
      <c r="D636">
        <v>2023</v>
      </c>
      <c r="E636">
        <v>4</v>
      </c>
    </row>
    <row r="637" spans="1:5" x14ac:dyDescent="0.3">
      <c r="A637" s="2">
        <v>45157</v>
      </c>
      <c r="B637">
        <v>7</v>
      </c>
      <c r="C637">
        <v>8</v>
      </c>
      <c r="D637">
        <v>2023</v>
      </c>
      <c r="E637">
        <v>3</v>
      </c>
    </row>
    <row r="638" spans="1:5" x14ac:dyDescent="0.3">
      <c r="A638" s="2">
        <v>45158</v>
      </c>
      <c r="B638">
        <v>1</v>
      </c>
      <c r="C638">
        <v>8</v>
      </c>
      <c r="D638">
        <v>2023</v>
      </c>
      <c r="E638">
        <v>8</v>
      </c>
    </row>
    <row r="639" spans="1:5" x14ac:dyDescent="0.3">
      <c r="A639" s="2">
        <v>45160</v>
      </c>
      <c r="B639">
        <v>3</v>
      </c>
      <c r="C639">
        <v>8</v>
      </c>
      <c r="D639">
        <v>2023</v>
      </c>
      <c r="E639">
        <v>2</v>
      </c>
    </row>
    <row r="640" spans="1:5" x14ac:dyDescent="0.3">
      <c r="A640" s="2">
        <v>45160</v>
      </c>
      <c r="B640">
        <v>3</v>
      </c>
      <c r="C640">
        <v>8</v>
      </c>
      <c r="D640">
        <v>2023</v>
      </c>
      <c r="E640">
        <v>1</v>
      </c>
    </row>
    <row r="641" spans="1:5" x14ac:dyDescent="0.3">
      <c r="A641" s="2">
        <v>45160</v>
      </c>
      <c r="B641">
        <v>3</v>
      </c>
      <c r="C641">
        <v>8</v>
      </c>
      <c r="D641">
        <v>2023</v>
      </c>
      <c r="E641">
        <v>2</v>
      </c>
    </row>
    <row r="642" spans="1:5" x14ac:dyDescent="0.3">
      <c r="A642" s="2">
        <v>45160</v>
      </c>
      <c r="B642">
        <v>3</v>
      </c>
      <c r="C642">
        <v>8</v>
      </c>
      <c r="D642">
        <v>2023</v>
      </c>
      <c r="E642">
        <v>1</v>
      </c>
    </row>
    <row r="643" spans="1:5" x14ac:dyDescent="0.3">
      <c r="A643" s="2">
        <v>45161</v>
      </c>
      <c r="B643">
        <v>4</v>
      </c>
      <c r="C643">
        <v>8</v>
      </c>
      <c r="D643">
        <v>2023</v>
      </c>
      <c r="E643">
        <v>1</v>
      </c>
    </row>
    <row r="644" spans="1:5" x14ac:dyDescent="0.3">
      <c r="A644" s="2">
        <v>45161</v>
      </c>
      <c r="B644">
        <v>4</v>
      </c>
      <c r="C644">
        <v>8</v>
      </c>
      <c r="D644">
        <v>2023</v>
      </c>
      <c r="E644">
        <v>1</v>
      </c>
    </row>
    <row r="645" spans="1:5" x14ac:dyDescent="0.3">
      <c r="A645" s="2">
        <v>45162</v>
      </c>
      <c r="B645">
        <v>5</v>
      </c>
      <c r="C645">
        <v>8</v>
      </c>
      <c r="D645">
        <v>2023</v>
      </c>
      <c r="E645">
        <v>1</v>
      </c>
    </row>
    <row r="646" spans="1:5" x14ac:dyDescent="0.3">
      <c r="A646" s="2">
        <v>45162</v>
      </c>
      <c r="B646">
        <v>5</v>
      </c>
      <c r="C646">
        <v>8</v>
      </c>
      <c r="D646">
        <v>2023</v>
      </c>
      <c r="E646">
        <v>1</v>
      </c>
    </row>
    <row r="647" spans="1:5" x14ac:dyDescent="0.3">
      <c r="A647" s="2">
        <v>45163</v>
      </c>
      <c r="B647">
        <v>6</v>
      </c>
      <c r="C647">
        <v>8</v>
      </c>
      <c r="D647">
        <v>2023</v>
      </c>
      <c r="E647">
        <v>2</v>
      </c>
    </row>
    <row r="648" spans="1:5" x14ac:dyDescent="0.3">
      <c r="A648" s="2">
        <v>45164</v>
      </c>
      <c r="B648">
        <v>7</v>
      </c>
      <c r="C648">
        <v>8</v>
      </c>
      <c r="D648">
        <v>2023</v>
      </c>
      <c r="E648">
        <v>1</v>
      </c>
    </row>
    <row r="649" spans="1:5" x14ac:dyDescent="0.3">
      <c r="A649" s="2">
        <v>45164</v>
      </c>
      <c r="B649">
        <v>7</v>
      </c>
      <c r="C649">
        <v>8</v>
      </c>
      <c r="D649">
        <v>2023</v>
      </c>
      <c r="E649">
        <v>1</v>
      </c>
    </row>
    <row r="650" spans="1:5" x14ac:dyDescent="0.3">
      <c r="A650" s="2">
        <v>45165</v>
      </c>
      <c r="B650">
        <v>1</v>
      </c>
      <c r="C650">
        <v>8</v>
      </c>
      <c r="D650">
        <v>2023</v>
      </c>
      <c r="E650">
        <v>1</v>
      </c>
    </row>
    <row r="651" spans="1:5" x14ac:dyDescent="0.3">
      <c r="A651" s="2">
        <v>45165</v>
      </c>
      <c r="B651">
        <v>1</v>
      </c>
      <c r="C651">
        <v>8</v>
      </c>
      <c r="D651">
        <v>2023</v>
      </c>
      <c r="E651">
        <v>1</v>
      </c>
    </row>
    <row r="652" spans="1:5" x14ac:dyDescent="0.3">
      <c r="A652" s="2">
        <v>45165</v>
      </c>
      <c r="B652">
        <v>1</v>
      </c>
      <c r="C652">
        <v>8</v>
      </c>
      <c r="D652">
        <v>2023</v>
      </c>
      <c r="E652">
        <v>1</v>
      </c>
    </row>
    <row r="653" spans="1:5" x14ac:dyDescent="0.3">
      <c r="A653" s="2">
        <v>45166</v>
      </c>
      <c r="B653">
        <v>2</v>
      </c>
      <c r="C653">
        <v>8</v>
      </c>
      <c r="D653">
        <v>2023</v>
      </c>
      <c r="E653">
        <v>2</v>
      </c>
    </row>
    <row r="654" spans="1:5" x14ac:dyDescent="0.3">
      <c r="A654" s="2">
        <v>45167</v>
      </c>
      <c r="B654">
        <v>3</v>
      </c>
      <c r="C654">
        <v>8</v>
      </c>
      <c r="D654">
        <v>2023</v>
      </c>
      <c r="E654">
        <v>1</v>
      </c>
    </row>
    <row r="655" spans="1:5" x14ac:dyDescent="0.3">
      <c r="A655" s="2">
        <v>45167</v>
      </c>
      <c r="B655">
        <v>3</v>
      </c>
      <c r="C655">
        <v>8</v>
      </c>
      <c r="D655">
        <v>2023</v>
      </c>
      <c r="E655">
        <v>1</v>
      </c>
    </row>
    <row r="656" spans="1:5" x14ac:dyDescent="0.3">
      <c r="A656" s="2">
        <v>45168</v>
      </c>
      <c r="B656">
        <v>4</v>
      </c>
      <c r="C656">
        <v>8</v>
      </c>
      <c r="D656">
        <v>2023</v>
      </c>
      <c r="E656">
        <v>1</v>
      </c>
    </row>
    <row r="657" spans="1:5" x14ac:dyDescent="0.3">
      <c r="A657" s="2">
        <v>45168</v>
      </c>
      <c r="B657">
        <v>4</v>
      </c>
      <c r="C657">
        <v>8</v>
      </c>
      <c r="D657">
        <v>2023</v>
      </c>
      <c r="E657">
        <v>1</v>
      </c>
    </row>
    <row r="658" spans="1:5" x14ac:dyDescent="0.3">
      <c r="A658" s="2">
        <v>45169</v>
      </c>
      <c r="B658">
        <v>5</v>
      </c>
      <c r="C658">
        <v>8</v>
      </c>
      <c r="D658">
        <v>2023</v>
      </c>
      <c r="E658">
        <v>1</v>
      </c>
    </row>
    <row r="659" spans="1:5" x14ac:dyDescent="0.3">
      <c r="A659" s="2">
        <v>45474</v>
      </c>
      <c r="B659">
        <v>2</v>
      </c>
      <c r="C659">
        <v>7</v>
      </c>
      <c r="D659">
        <v>2024</v>
      </c>
      <c r="E659">
        <v>1</v>
      </c>
    </row>
    <row r="660" spans="1:5" x14ac:dyDescent="0.3">
      <c r="A660" s="2">
        <v>45474</v>
      </c>
      <c r="B660">
        <v>2</v>
      </c>
      <c r="C660">
        <v>7</v>
      </c>
      <c r="D660">
        <v>2024</v>
      </c>
      <c r="E660">
        <v>2</v>
      </c>
    </row>
    <row r="661" spans="1:5" x14ac:dyDescent="0.3">
      <c r="A661" s="2">
        <v>45474</v>
      </c>
      <c r="B661">
        <v>2</v>
      </c>
      <c r="C661">
        <v>7</v>
      </c>
      <c r="D661">
        <v>2024</v>
      </c>
      <c r="E661">
        <v>2</v>
      </c>
    </row>
    <row r="662" spans="1:5" x14ac:dyDescent="0.3">
      <c r="A662" s="2">
        <v>45474</v>
      </c>
      <c r="B662">
        <v>2</v>
      </c>
      <c r="C662">
        <v>7</v>
      </c>
      <c r="D662">
        <v>2024</v>
      </c>
      <c r="E662">
        <v>1</v>
      </c>
    </row>
    <row r="663" spans="1:5" x14ac:dyDescent="0.3">
      <c r="A663" s="2">
        <v>45476</v>
      </c>
      <c r="B663">
        <v>4</v>
      </c>
      <c r="C663">
        <v>7</v>
      </c>
      <c r="D663">
        <v>2024</v>
      </c>
      <c r="E663">
        <v>2</v>
      </c>
    </row>
    <row r="664" spans="1:5" x14ac:dyDescent="0.3">
      <c r="A664" s="2">
        <v>45476</v>
      </c>
      <c r="B664">
        <v>4</v>
      </c>
      <c r="C664">
        <v>7</v>
      </c>
      <c r="D664">
        <v>2024</v>
      </c>
      <c r="E664">
        <v>2</v>
      </c>
    </row>
    <row r="665" spans="1:5" x14ac:dyDescent="0.3">
      <c r="A665" s="2">
        <v>45477</v>
      </c>
      <c r="B665">
        <v>5</v>
      </c>
      <c r="C665">
        <v>7</v>
      </c>
      <c r="D665">
        <v>2024</v>
      </c>
      <c r="E665">
        <v>1</v>
      </c>
    </row>
    <row r="666" spans="1:5" x14ac:dyDescent="0.3">
      <c r="A666" s="2">
        <v>45477</v>
      </c>
      <c r="B666">
        <v>5</v>
      </c>
      <c r="C666">
        <v>7</v>
      </c>
      <c r="D666">
        <v>2024</v>
      </c>
      <c r="E666">
        <v>1</v>
      </c>
    </row>
    <row r="667" spans="1:5" x14ac:dyDescent="0.3">
      <c r="A667" s="2">
        <v>45478</v>
      </c>
      <c r="B667">
        <v>6</v>
      </c>
      <c r="C667">
        <v>7</v>
      </c>
      <c r="D667">
        <v>2024</v>
      </c>
      <c r="E667">
        <v>1</v>
      </c>
    </row>
    <row r="668" spans="1:5" x14ac:dyDescent="0.3">
      <c r="A668" s="2">
        <v>45478</v>
      </c>
      <c r="B668">
        <v>6</v>
      </c>
      <c r="C668">
        <v>7</v>
      </c>
      <c r="D668">
        <v>2024</v>
      </c>
      <c r="E668">
        <v>1</v>
      </c>
    </row>
    <row r="669" spans="1:5" x14ac:dyDescent="0.3">
      <c r="A669" s="2">
        <v>45478</v>
      </c>
      <c r="B669">
        <v>6</v>
      </c>
      <c r="C669">
        <v>7</v>
      </c>
      <c r="D669">
        <v>2024</v>
      </c>
      <c r="E669">
        <v>5</v>
      </c>
    </row>
    <row r="670" spans="1:5" x14ac:dyDescent="0.3">
      <c r="A670" s="2">
        <v>45479</v>
      </c>
      <c r="B670">
        <v>7</v>
      </c>
      <c r="C670">
        <v>7</v>
      </c>
      <c r="D670">
        <v>2024</v>
      </c>
      <c r="E670">
        <v>3</v>
      </c>
    </row>
    <row r="671" spans="1:5" x14ac:dyDescent="0.3">
      <c r="A671" s="2">
        <v>45479</v>
      </c>
      <c r="B671">
        <v>7</v>
      </c>
      <c r="C671">
        <v>7</v>
      </c>
      <c r="D671">
        <v>2024</v>
      </c>
      <c r="E671">
        <v>1</v>
      </c>
    </row>
    <row r="672" spans="1:5" x14ac:dyDescent="0.3">
      <c r="A672" s="2">
        <v>45480</v>
      </c>
      <c r="B672">
        <v>1</v>
      </c>
      <c r="C672">
        <v>7</v>
      </c>
      <c r="D672">
        <v>2024</v>
      </c>
      <c r="E672">
        <v>1</v>
      </c>
    </row>
    <row r="673" spans="1:5" x14ac:dyDescent="0.3">
      <c r="A673" s="2">
        <v>45480</v>
      </c>
      <c r="B673">
        <v>1</v>
      </c>
      <c r="C673">
        <v>7</v>
      </c>
      <c r="D673">
        <v>2024</v>
      </c>
      <c r="E673">
        <v>1</v>
      </c>
    </row>
    <row r="674" spans="1:5" x14ac:dyDescent="0.3">
      <c r="A674" s="2">
        <v>45480</v>
      </c>
      <c r="B674">
        <v>1</v>
      </c>
      <c r="C674">
        <v>7</v>
      </c>
      <c r="D674">
        <v>2024</v>
      </c>
      <c r="E674">
        <v>1</v>
      </c>
    </row>
    <row r="675" spans="1:5" x14ac:dyDescent="0.3">
      <c r="A675" s="2">
        <v>45480</v>
      </c>
      <c r="B675">
        <v>1</v>
      </c>
      <c r="C675">
        <v>7</v>
      </c>
      <c r="D675">
        <v>2024</v>
      </c>
      <c r="E675">
        <v>1</v>
      </c>
    </row>
    <row r="676" spans="1:5" x14ac:dyDescent="0.3">
      <c r="A676" s="2">
        <v>45480</v>
      </c>
      <c r="B676">
        <v>1</v>
      </c>
      <c r="C676">
        <v>7</v>
      </c>
      <c r="D676">
        <v>2024</v>
      </c>
      <c r="E676">
        <v>1</v>
      </c>
    </row>
    <row r="677" spans="1:5" x14ac:dyDescent="0.3">
      <c r="A677" s="2">
        <v>45480</v>
      </c>
      <c r="B677">
        <v>1</v>
      </c>
      <c r="C677">
        <v>7</v>
      </c>
      <c r="D677">
        <v>2024</v>
      </c>
      <c r="E677">
        <v>1</v>
      </c>
    </row>
    <row r="678" spans="1:5" x14ac:dyDescent="0.3">
      <c r="A678" s="2">
        <v>45480</v>
      </c>
      <c r="B678">
        <v>1</v>
      </c>
      <c r="C678">
        <v>7</v>
      </c>
      <c r="D678">
        <v>2024</v>
      </c>
      <c r="E678">
        <v>1</v>
      </c>
    </row>
    <row r="679" spans="1:5" x14ac:dyDescent="0.3">
      <c r="A679" s="2">
        <v>45480</v>
      </c>
      <c r="B679">
        <v>1</v>
      </c>
      <c r="C679">
        <v>7</v>
      </c>
      <c r="D679">
        <v>2024</v>
      </c>
      <c r="E679">
        <v>1</v>
      </c>
    </row>
    <row r="680" spans="1:5" x14ac:dyDescent="0.3">
      <c r="A680" s="2">
        <v>45480</v>
      </c>
      <c r="B680">
        <v>1</v>
      </c>
      <c r="C680">
        <v>7</v>
      </c>
      <c r="D680">
        <v>2024</v>
      </c>
      <c r="E680">
        <v>1</v>
      </c>
    </row>
    <row r="681" spans="1:5" x14ac:dyDescent="0.3">
      <c r="A681" s="2">
        <v>45480</v>
      </c>
      <c r="B681">
        <v>1</v>
      </c>
      <c r="C681">
        <v>7</v>
      </c>
      <c r="D681">
        <v>2024</v>
      </c>
      <c r="E681">
        <v>1</v>
      </c>
    </row>
    <row r="682" spans="1:5" x14ac:dyDescent="0.3">
      <c r="A682" s="2">
        <v>45480</v>
      </c>
      <c r="B682">
        <v>1</v>
      </c>
      <c r="C682">
        <v>7</v>
      </c>
      <c r="D682">
        <v>2024</v>
      </c>
      <c r="E682">
        <v>1</v>
      </c>
    </row>
    <row r="683" spans="1:5" x14ac:dyDescent="0.3">
      <c r="A683" s="2">
        <v>45480</v>
      </c>
      <c r="B683">
        <v>1</v>
      </c>
      <c r="C683">
        <v>7</v>
      </c>
      <c r="D683">
        <v>2024</v>
      </c>
      <c r="E683">
        <v>1</v>
      </c>
    </row>
    <row r="684" spans="1:5" x14ac:dyDescent="0.3">
      <c r="A684" s="2">
        <v>45480</v>
      </c>
      <c r="B684">
        <v>1</v>
      </c>
      <c r="C684">
        <v>7</v>
      </c>
      <c r="D684">
        <v>2024</v>
      </c>
      <c r="E684">
        <v>2</v>
      </c>
    </row>
    <row r="685" spans="1:5" x14ac:dyDescent="0.3">
      <c r="A685" s="2">
        <v>45480</v>
      </c>
      <c r="B685">
        <v>1</v>
      </c>
      <c r="C685">
        <v>7</v>
      </c>
      <c r="D685">
        <v>2024</v>
      </c>
      <c r="E685">
        <v>3</v>
      </c>
    </row>
    <row r="686" spans="1:5" x14ac:dyDescent="0.3">
      <c r="A686" s="2">
        <v>45480</v>
      </c>
      <c r="B686">
        <v>1</v>
      </c>
      <c r="C686">
        <v>7</v>
      </c>
      <c r="D686">
        <v>2024</v>
      </c>
      <c r="E686">
        <v>1</v>
      </c>
    </row>
    <row r="687" spans="1:5" x14ac:dyDescent="0.3">
      <c r="A687" s="2">
        <v>45480</v>
      </c>
      <c r="B687">
        <v>1</v>
      </c>
      <c r="C687">
        <v>7</v>
      </c>
      <c r="D687">
        <v>2024</v>
      </c>
      <c r="E687">
        <v>1</v>
      </c>
    </row>
    <row r="688" spans="1:5" x14ac:dyDescent="0.3">
      <c r="A688" s="2">
        <v>45481</v>
      </c>
      <c r="B688">
        <v>2</v>
      </c>
      <c r="C688">
        <v>7</v>
      </c>
      <c r="D688">
        <v>2024</v>
      </c>
      <c r="E688">
        <v>1</v>
      </c>
    </row>
    <row r="689" spans="1:5" x14ac:dyDescent="0.3">
      <c r="A689" s="2">
        <v>45481</v>
      </c>
      <c r="B689">
        <v>2</v>
      </c>
      <c r="C689">
        <v>7</v>
      </c>
      <c r="D689">
        <v>2024</v>
      </c>
      <c r="E689">
        <v>1</v>
      </c>
    </row>
    <row r="690" spans="1:5" x14ac:dyDescent="0.3">
      <c r="A690" s="2">
        <v>45481</v>
      </c>
      <c r="B690">
        <v>2</v>
      </c>
      <c r="C690">
        <v>7</v>
      </c>
      <c r="D690">
        <v>2024</v>
      </c>
      <c r="E690">
        <v>2</v>
      </c>
    </row>
    <row r="691" spans="1:5" x14ac:dyDescent="0.3">
      <c r="A691" s="2">
        <v>45481</v>
      </c>
      <c r="B691">
        <v>2</v>
      </c>
      <c r="C691">
        <v>7</v>
      </c>
      <c r="D691">
        <v>2024</v>
      </c>
      <c r="E691">
        <v>1</v>
      </c>
    </row>
    <row r="692" spans="1:5" x14ac:dyDescent="0.3">
      <c r="A692" s="2">
        <v>45481</v>
      </c>
      <c r="B692">
        <v>2</v>
      </c>
      <c r="C692">
        <v>7</v>
      </c>
      <c r="D692">
        <v>2024</v>
      </c>
      <c r="E692">
        <v>2</v>
      </c>
    </row>
    <row r="693" spans="1:5" x14ac:dyDescent="0.3">
      <c r="A693" s="2">
        <v>45481</v>
      </c>
      <c r="B693">
        <v>2</v>
      </c>
      <c r="C693">
        <v>7</v>
      </c>
      <c r="D693">
        <v>2024</v>
      </c>
      <c r="E693">
        <v>3</v>
      </c>
    </row>
    <row r="694" spans="1:5" x14ac:dyDescent="0.3">
      <c r="A694" s="2">
        <v>45481</v>
      </c>
      <c r="B694">
        <v>2</v>
      </c>
      <c r="C694">
        <v>7</v>
      </c>
      <c r="D694">
        <v>2024</v>
      </c>
      <c r="E694">
        <v>1</v>
      </c>
    </row>
    <row r="695" spans="1:5" x14ac:dyDescent="0.3">
      <c r="A695" s="2">
        <v>45481</v>
      </c>
      <c r="B695">
        <v>2</v>
      </c>
      <c r="C695">
        <v>7</v>
      </c>
      <c r="D695">
        <v>2024</v>
      </c>
      <c r="E695">
        <v>1</v>
      </c>
    </row>
    <row r="696" spans="1:5" x14ac:dyDescent="0.3">
      <c r="A696" s="2">
        <v>45481</v>
      </c>
      <c r="B696">
        <v>2</v>
      </c>
      <c r="C696">
        <v>7</v>
      </c>
      <c r="D696">
        <v>2024</v>
      </c>
      <c r="E696">
        <v>1</v>
      </c>
    </row>
    <row r="697" spans="1:5" x14ac:dyDescent="0.3">
      <c r="A697" s="2">
        <v>45481</v>
      </c>
      <c r="B697">
        <v>2</v>
      </c>
      <c r="C697">
        <v>7</v>
      </c>
      <c r="D697">
        <v>2024</v>
      </c>
      <c r="E697">
        <v>1</v>
      </c>
    </row>
    <row r="698" spans="1:5" x14ac:dyDescent="0.3">
      <c r="A698" s="2">
        <v>45481</v>
      </c>
      <c r="B698">
        <v>2</v>
      </c>
      <c r="C698">
        <v>7</v>
      </c>
      <c r="D698">
        <v>2024</v>
      </c>
      <c r="E698">
        <v>1</v>
      </c>
    </row>
    <row r="699" spans="1:5" x14ac:dyDescent="0.3">
      <c r="A699" s="2">
        <v>45482</v>
      </c>
      <c r="B699">
        <v>3</v>
      </c>
      <c r="C699">
        <v>7</v>
      </c>
      <c r="D699">
        <v>2024</v>
      </c>
      <c r="E699">
        <v>2</v>
      </c>
    </row>
    <row r="700" spans="1:5" x14ac:dyDescent="0.3">
      <c r="A700" s="2">
        <v>45482</v>
      </c>
      <c r="B700">
        <v>3</v>
      </c>
      <c r="C700">
        <v>7</v>
      </c>
      <c r="D700">
        <v>2024</v>
      </c>
      <c r="E700">
        <v>2</v>
      </c>
    </row>
    <row r="701" spans="1:5" x14ac:dyDescent="0.3">
      <c r="A701" s="2">
        <v>45482</v>
      </c>
      <c r="B701">
        <v>3</v>
      </c>
      <c r="C701">
        <v>7</v>
      </c>
      <c r="D701">
        <v>2024</v>
      </c>
      <c r="E701">
        <v>3</v>
      </c>
    </row>
    <row r="702" spans="1:5" x14ac:dyDescent="0.3">
      <c r="A702" s="2">
        <v>45482</v>
      </c>
      <c r="B702">
        <v>3</v>
      </c>
      <c r="C702">
        <v>7</v>
      </c>
      <c r="D702">
        <v>2024</v>
      </c>
      <c r="E702">
        <v>1</v>
      </c>
    </row>
    <row r="703" spans="1:5" x14ac:dyDescent="0.3">
      <c r="A703" s="2">
        <v>45482</v>
      </c>
      <c r="B703">
        <v>3</v>
      </c>
      <c r="C703">
        <v>7</v>
      </c>
      <c r="D703">
        <v>2024</v>
      </c>
      <c r="E703">
        <v>2</v>
      </c>
    </row>
    <row r="704" spans="1:5" x14ac:dyDescent="0.3">
      <c r="A704" s="2">
        <v>45482</v>
      </c>
      <c r="B704">
        <v>3</v>
      </c>
      <c r="C704">
        <v>7</v>
      </c>
      <c r="D704">
        <v>2024</v>
      </c>
      <c r="E704">
        <v>1</v>
      </c>
    </row>
    <row r="705" spans="1:5" x14ac:dyDescent="0.3">
      <c r="A705" s="2">
        <v>45482</v>
      </c>
      <c r="B705">
        <v>3</v>
      </c>
      <c r="C705">
        <v>7</v>
      </c>
      <c r="D705">
        <v>2024</v>
      </c>
      <c r="E705">
        <v>1</v>
      </c>
    </row>
    <row r="706" spans="1:5" x14ac:dyDescent="0.3">
      <c r="A706" s="2">
        <v>45482</v>
      </c>
      <c r="B706">
        <v>3</v>
      </c>
      <c r="C706">
        <v>7</v>
      </c>
      <c r="D706">
        <v>2024</v>
      </c>
      <c r="E706">
        <v>1</v>
      </c>
    </row>
    <row r="707" spans="1:5" x14ac:dyDescent="0.3">
      <c r="A707" s="2">
        <v>45482</v>
      </c>
      <c r="B707">
        <v>3</v>
      </c>
      <c r="C707">
        <v>7</v>
      </c>
      <c r="D707">
        <v>2024</v>
      </c>
      <c r="E707">
        <v>1</v>
      </c>
    </row>
    <row r="708" spans="1:5" x14ac:dyDescent="0.3">
      <c r="A708" s="2">
        <v>45482</v>
      </c>
      <c r="B708">
        <v>3</v>
      </c>
      <c r="C708">
        <v>7</v>
      </c>
      <c r="D708">
        <v>2024</v>
      </c>
      <c r="E708">
        <v>2</v>
      </c>
    </row>
    <row r="709" spans="1:5" x14ac:dyDescent="0.3">
      <c r="A709" s="2">
        <v>45482</v>
      </c>
      <c r="B709">
        <v>3</v>
      </c>
      <c r="C709">
        <v>7</v>
      </c>
      <c r="D709">
        <v>2024</v>
      </c>
      <c r="E709">
        <v>1</v>
      </c>
    </row>
    <row r="710" spans="1:5" x14ac:dyDescent="0.3">
      <c r="A710" s="2">
        <v>45482</v>
      </c>
      <c r="B710">
        <v>3</v>
      </c>
      <c r="C710">
        <v>7</v>
      </c>
      <c r="D710">
        <v>2024</v>
      </c>
      <c r="E710">
        <v>1</v>
      </c>
    </row>
    <row r="711" spans="1:5" x14ac:dyDescent="0.3">
      <c r="A711" s="2">
        <v>45482</v>
      </c>
      <c r="B711">
        <v>3</v>
      </c>
      <c r="C711">
        <v>7</v>
      </c>
      <c r="D711">
        <v>2024</v>
      </c>
      <c r="E711">
        <v>1</v>
      </c>
    </row>
    <row r="712" spans="1:5" x14ac:dyDescent="0.3">
      <c r="A712" s="2">
        <v>45482</v>
      </c>
      <c r="B712">
        <v>3</v>
      </c>
      <c r="C712">
        <v>7</v>
      </c>
      <c r="D712">
        <v>2024</v>
      </c>
      <c r="E712">
        <v>2</v>
      </c>
    </row>
    <row r="713" spans="1:5" x14ac:dyDescent="0.3">
      <c r="A713" s="2">
        <v>45482</v>
      </c>
      <c r="B713">
        <v>3</v>
      </c>
      <c r="C713">
        <v>7</v>
      </c>
      <c r="D713">
        <v>2024</v>
      </c>
      <c r="E713">
        <v>1</v>
      </c>
    </row>
    <row r="714" spans="1:5" x14ac:dyDescent="0.3">
      <c r="A714" s="2">
        <v>45482</v>
      </c>
      <c r="B714">
        <v>3</v>
      </c>
      <c r="C714">
        <v>7</v>
      </c>
      <c r="D714">
        <v>2024</v>
      </c>
      <c r="E714">
        <v>1</v>
      </c>
    </row>
    <row r="715" spans="1:5" x14ac:dyDescent="0.3">
      <c r="A715" s="2">
        <v>45482</v>
      </c>
      <c r="B715">
        <v>3</v>
      </c>
      <c r="C715">
        <v>7</v>
      </c>
      <c r="D715">
        <v>2024</v>
      </c>
      <c r="E715">
        <v>2</v>
      </c>
    </row>
    <row r="716" spans="1:5" x14ac:dyDescent="0.3">
      <c r="A716" s="2">
        <v>45482</v>
      </c>
      <c r="B716">
        <v>3</v>
      </c>
      <c r="C716">
        <v>7</v>
      </c>
      <c r="D716">
        <v>2024</v>
      </c>
      <c r="E716">
        <v>1</v>
      </c>
    </row>
    <row r="717" spans="1:5" x14ac:dyDescent="0.3">
      <c r="A717" s="2">
        <v>45482</v>
      </c>
      <c r="B717">
        <v>3</v>
      </c>
      <c r="C717">
        <v>7</v>
      </c>
      <c r="D717">
        <v>2024</v>
      </c>
      <c r="E717">
        <v>1</v>
      </c>
    </row>
    <row r="718" spans="1:5" x14ac:dyDescent="0.3">
      <c r="A718" s="2">
        <v>45482</v>
      </c>
      <c r="B718">
        <v>3</v>
      </c>
      <c r="C718">
        <v>7</v>
      </c>
      <c r="D718">
        <v>2024</v>
      </c>
      <c r="E718">
        <v>1</v>
      </c>
    </row>
    <row r="719" spans="1:5" x14ac:dyDescent="0.3">
      <c r="A719" s="2">
        <v>45482</v>
      </c>
      <c r="B719">
        <v>3</v>
      </c>
      <c r="C719">
        <v>7</v>
      </c>
      <c r="D719">
        <v>2024</v>
      </c>
      <c r="E719">
        <v>1</v>
      </c>
    </row>
    <row r="720" spans="1:5" x14ac:dyDescent="0.3">
      <c r="A720" s="2">
        <v>45482</v>
      </c>
      <c r="B720">
        <v>3</v>
      </c>
      <c r="C720">
        <v>7</v>
      </c>
      <c r="D720">
        <v>2024</v>
      </c>
      <c r="E720">
        <v>1</v>
      </c>
    </row>
    <row r="721" spans="1:5" x14ac:dyDescent="0.3">
      <c r="A721" s="2">
        <v>45482</v>
      </c>
      <c r="B721">
        <v>3</v>
      </c>
      <c r="C721">
        <v>7</v>
      </c>
      <c r="D721">
        <v>2024</v>
      </c>
      <c r="E721">
        <v>1</v>
      </c>
    </row>
    <row r="722" spans="1:5" x14ac:dyDescent="0.3">
      <c r="A722" s="2">
        <v>45482</v>
      </c>
      <c r="B722">
        <v>3</v>
      </c>
      <c r="C722">
        <v>7</v>
      </c>
      <c r="D722">
        <v>2024</v>
      </c>
      <c r="E722">
        <v>1</v>
      </c>
    </row>
    <row r="723" spans="1:5" x14ac:dyDescent="0.3">
      <c r="A723" s="2">
        <v>45482</v>
      </c>
      <c r="B723">
        <v>3</v>
      </c>
      <c r="C723">
        <v>7</v>
      </c>
      <c r="D723">
        <v>2024</v>
      </c>
      <c r="E723">
        <v>3</v>
      </c>
    </row>
    <row r="724" spans="1:5" x14ac:dyDescent="0.3">
      <c r="A724" s="2">
        <v>45482</v>
      </c>
      <c r="B724">
        <v>3</v>
      </c>
      <c r="C724">
        <v>7</v>
      </c>
      <c r="D724">
        <v>2024</v>
      </c>
      <c r="E724">
        <v>2</v>
      </c>
    </row>
    <row r="725" spans="1:5" x14ac:dyDescent="0.3">
      <c r="A725" s="2">
        <v>45482</v>
      </c>
      <c r="B725">
        <v>3</v>
      </c>
      <c r="C725">
        <v>7</v>
      </c>
      <c r="D725">
        <v>2024</v>
      </c>
      <c r="E725">
        <v>5</v>
      </c>
    </row>
    <row r="726" spans="1:5" x14ac:dyDescent="0.3">
      <c r="A726" s="2">
        <v>45482</v>
      </c>
      <c r="B726">
        <v>3</v>
      </c>
      <c r="C726">
        <v>7</v>
      </c>
      <c r="D726">
        <v>2024</v>
      </c>
      <c r="E726">
        <v>1</v>
      </c>
    </row>
    <row r="727" spans="1:5" x14ac:dyDescent="0.3">
      <c r="A727" s="2">
        <v>45482</v>
      </c>
      <c r="B727">
        <v>3</v>
      </c>
      <c r="C727">
        <v>7</v>
      </c>
      <c r="D727">
        <v>2024</v>
      </c>
      <c r="E727">
        <v>2</v>
      </c>
    </row>
    <row r="728" spans="1:5" x14ac:dyDescent="0.3">
      <c r="A728" s="2">
        <v>45482</v>
      </c>
      <c r="B728">
        <v>3</v>
      </c>
      <c r="C728">
        <v>7</v>
      </c>
      <c r="D728">
        <v>2024</v>
      </c>
      <c r="E728">
        <v>1</v>
      </c>
    </row>
    <row r="729" spans="1:5" x14ac:dyDescent="0.3">
      <c r="A729" s="2">
        <v>45482</v>
      </c>
      <c r="B729">
        <v>3</v>
      </c>
      <c r="C729">
        <v>7</v>
      </c>
      <c r="D729">
        <v>2024</v>
      </c>
      <c r="E729">
        <v>1</v>
      </c>
    </row>
    <row r="730" spans="1:5" x14ac:dyDescent="0.3">
      <c r="A730" s="2">
        <v>45482</v>
      </c>
      <c r="B730">
        <v>3</v>
      </c>
      <c r="C730">
        <v>7</v>
      </c>
      <c r="D730">
        <v>2024</v>
      </c>
      <c r="E730">
        <v>2</v>
      </c>
    </row>
    <row r="731" spans="1:5" x14ac:dyDescent="0.3">
      <c r="A731" s="2">
        <v>45482</v>
      </c>
      <c r="B731">
        <v>3</v>
      </c>
      <c r="C731">
        <v>7</v>
      </c>
      <c r="D731">
        <v>2024</v>
      </c>
      <c r="E731">
        <v>1</v>
      </c>
    </row>
    <row r="732" spans="1:5" x14ac:dyDescent="0.3">
      <c r="A732" s="2">
        <v>45482</v>
      </c>
      <c r="B732">
        <v>3</v>
      </c>
      <c r="C732">
        <v>7</v>
      </c>
      <c r="D732">
        <v>2024</v>
      </c>
      <c r="E732">
        <v>1</v>
      </c>
    </row>
    <row r="733" spans="1:5" x14ac:dyDescent="0.3">
      <c r="A733" s="2">
        <v>45482</v>
      </c>
      <c r="B733">
        <v>3</v>
      </c>
      <c r="C733">
        <v>7</v>
      </c>
      <c r="D733">
        <v>2024</v>
      </c>
      <c r="E733">
        <v>1</v>
      </c>
    </row>
    <row r="734" spans="1:5" x14ac:dyDescent="0.3">
      <c r="A734" s="2">
        <v>45484</v>
      </c>
      <c r="B734">
        <v>5</v>
      </c>
      <c r="C734">
        <v>7</v>
      </c>
      <c r="D734">
        <v>2024</v>
      </c>
      <c r="E734">
        <v>1</v>
      </c>
    </row>
    <row r="735" spans="1:5" x14ac:dyDescent="0.3">
      <c r="A735" s="2">
        <v>45484</v>
      </c>
      <c r="B735">
        <v>5</v>
      </c>
      <c r="C735">
        <v>7</v>
      </c>
      <c r="D735">
        <v>2024</v>
      </c>
      <c r="E735">
        <v>1</v>
      </c>
    </row>
    <row r="736" spans="1:5" x14ac:dyDescent="0.3">
      <c r="A736" s="2">
        <v>45484</v>
      </c>
      <c r="B736">
        <v>5</v>
      </c>
      <c r="C736">
        <v>7</v>
      </c>
      <c r="D736">
        <v>2024</v>
      </c>
      <c r="E736">
        <v>1</v>
      </c>
    </row>
    <row r="737" spans="1:5" x14ac:dyDescent="0.3">
      <c r="A737" s="2">
        <v>45484</v>
      </c>
      <c r="B737">
        <v>5</v>
      </c>
      <c r="C737">
        <v>7</v>
      </c>
      <c r="D737">
        <v>2024</v>
      </c>
      <c r="E737">
        <v>1</v>
      </c>
    </row>
    <row r="738" spans="1:5" x14ac:dyDescent="0.3">
      <c r="A738" s="2">
        <v>45484</v>
      </c>
      <c r="B738">
        <v>5</v>
      </c>
      <c r="C738">
        <v>7</v>
      </c>
      <c r="D738">
        <v>2024</v>
      </c>
      <c r="E738">
        <v>1</v>
      </c>
    </row>
    <row r="739" spans="1:5" x14ac:dyDescent="0.3">
      <c r="A739" s="2">
        <v>45484</v>
      </c>
      <c r="B739">
        <v>5</v>
      </c>
      <c r="C739">
        <v>7</v>
      </c>
      <c r="D739">
        <v>2024</v>
      </c>
      <c r="E739">
        <v>2</v>
      </c>
    </row>
    <row r="740" spans="1:5" x14ac:dyDescent="0.3">
      <c r="A740" s="2">
        <v>45484</v>
      </c>
      <c r="B740">
        <v>5</v>
      </c>
      <c r="C740">
        <v>7</v>
      </c>
      <c r="D740">
        <v>2024</v>
      </c>
      <c r="E740">
        <v>1</v>
      </c>
    </row>
    <row r="741" spans="1:5" x14ac:dyDescent="0.3">
      <c r="A741" s="2">
        <v>45484</v>
      </c>
      <c r="B741">
        <v>5</v>
      </c>
      <c r="C741">
        <v>7</v>
      </c>
      <c r="D741">
        <v>2024</v>
      </c>
      <c r="E741">
        <v>1</v>
      </c>
    </row>
    <row r="742" spans="1:5" x14ac:dyDescent="0.3">
      <c r="A742" s="2">
        <v>45484</v>
      </c>
      <c r="B742">
        <v>5</v>
      </c>
      <c r="C742">
        <v>7</v>
      </c>
      <c r="D742">
        <v>2024</v>
      </c>
      <c r="E742">
        <v>2</v>
      </c>
    </row>
    <row r="743" spans="1:5" x14ac:dyDescent="0.3">
      <c r="A743" s="2">
        <v>45484</v>
      </c>
      <c r="B743">
        <v>5</v>
      </c>
      <c r="C743">
        <v>7</v>
      </c>
      <c r="D743">
        <v>2024</v>
      </c>
      <c r="E743">
        <v>1</v>
      </c>
    </row>
    <row r="744" spans="1:5" x14ac:dyDescent="0.3">
      <c r="A744" s="2">
        <v>45484</v>
      </c>
      <c r="B744">
        <v>5</v>
      </c>
      <c r="C744">
        <v>7</v>
      </c>
      <c r="D744">
        <v>2024</v>
      </c>
      <c r="E744">
        <v>1</v>
      </c>
    </row>
    <row r="745" spans="1:5" x14ac:dyDescent="0.3">
      <c r="A745" s="2">
        <v>45484</v>
      </c>
      <c r="B745">
        <v>5</v>
      </c>
      <c r="C745">
        <v>7</v>
      </c>
      <c r="D745">
        <v>2024</v>
      </c>
      <c r="E745">
        <v>1</v>
      </c>
    </row>
    <row r="746" spans="1:5" x14ac:dyDescent="0.3">
      <c r="A746" s="2">
        <v>45484</v>
      </c>
      <c r="B746">
        <v>5</v>
      </c>
      <c r="C746">
        <v>7</v>
      </c>
      <c r="D746">
        <v>2024</v>
      </c>
      <c r="E746">
        <v>2</v>
      </c>
    </row>
    <row r="747" spans="1:5" x14ac:dyDescent="0.3">
      <c r="A747" s="2">
        <v>45484</v>
      </c>
      <c r="B747">
        <v>5</v>
      </c>
      <c r="C747">
        <v>7</v>
      </c>
      <c r="D747">
        <v>2024</v>
      </c>
      <c r="E747">
        <v>2</v>
      </c>
    </row>
    <row r="748" spans="1:5" x14ac:dyDescent="0.3">
      <c r="A748" s="2">
        <v>45484</v>
      </c>
      <c r="B748">
        <v>5</v>
      </c>
      <c r="C748">
        <v>7</v>
      </c>
      <c r="D748">
        <v>2024</v>
      </c>
      <c r="E748">
        <v>1</v>
      </c>
    </row>
    <row r="749" spans="1:5" x14ac:dyDescent="0.3">
      <c r="A749" s="2">
        <v>45484</v>
      </c>
      <c r="B749">
        <v>5</v>
      </c>
      <c r="C749">
        <v>7</v>
      </c>
      <c r="D749">
        <v>2024</v>
      </c>
      <c r="E749">
        <v>2</v>
      </c>
    </row>
    <row r="750" spans="1:5" x14ac:dyDescent="0.3">
      <c r="A750" s="2">
        <v>45484</v>
      </c>
      <c r="B750">
        <v>5</v>
      </c>
      <c r="C750">
        <v>7</v>
      </c>
      <c r="D750">
        <v>2024</v>
      </c>
      <c r="E750">
        <v>1</v>
      </c>
    </row>
    <row r="751" spans="1:5" x14ac:dyDescent="0.3">
      <c r="A751" s="2">
        <v>45484</v>
      </c>
      <c r="B751">
        <v>5</v>
      </c>
      <c r="C751">
        <v>7</v>
      </c>
      <c r="D751">
        <v>2024</v>
      </c>
      <c r="E751">
        <v>2</v>
      </c>
    </row>
    <row r="752" spans="1:5" x14ac:dyDescent="0.3">
      <c r="A752" s="2">
        <v>45484</v>
      </c>
      <c r="B752">
        <v>5</v>
      </c>
      <c r="C752">
        <v>7</v>
      </c>
      <c r="D752">
        <v>2024</v>
      </c>
      <c r="E752">
        <v>1</v>
      </c>
    </row>
    <row r="753" spans="1:5" x14ac:dyDescent="0.3">
      <c r="A753" s="2">
        <v>45484</v>
      </c>
      <c r="B753">
        <v>5</v>
      </c>
      <c r="C753">
        <v>7</v>
      </c>
      <c r="D753">
        <v>2024</v>
      </c>
      <c r="E753">
        <v>1</v>
      </c>
    </row>
    <row r="754" spans="1:5" x14ac:dyDescent="0.3">
      <c r="A754" s="2">
        <v>45484</v>
      </c>
      <c r="B754">
        <v>5</v>
      </c>
      <c r="C754">
        <v>7</v>
      </c>
      <c r="D754">
        <v>2024</v>
      </c>
      <c r="E754">
        <v>1</v>
      </c>
    </row>
    <row r="755" spans="1:5" x14ac:dyDescent="0.3">
      <c r="A755" s="2">
        <v>45484</v>
      </c>
      <c r="B755">
        <v>5</v>
      </c>
      <c r="C755">
        <v>7</v>
      </c>
      <c r="D755">
        <v>2024</v>
      </c>
      <c r="E755">
        <v>1</v>
      </c>
    </row>
    <row r="756" spans="1:5" x14ac:dyDescent="0.3">
      <c r="A756" s="2">
        <v>45484</v>
      </c>
      <c r="B756">
        <v>5</v>
      </c>
      <c r="C756">
        <v>7</v>
      </c>
      <c r="D756">
        <v>2024</v>
      </c>
      <c r="E756">
        <v>1</v>
      </c>
    </row>
    <row r="757" spans="1:5" x14ac:dyDescent="0.3">
      <c r="A757" s="2">
        <v>45484</v>
      </c>
      <c r="B757">
        <v>5</v>
      </c>
      <c r="C757">
        <v>7</v>
      </c>
      <c r="D757">
        <v>2024</v>
      </c>
      <c r="E757">
        <v>1</v>
      </c>
    </row>
    <row r="758" spans="1:5" x14ac:dyDescent="0.3">
      <c r="A758" s="2">
        <v>45485</v>
      </c>
      <c r="B758">
        <v>6</v>
      </c>
      <c r="C758">
        <v>7</v>
      </c>
      <c r="D758">
        <v>2024</v>
      </c>
      <c r="E758">
        <v>3</v>
      </c>
    </row>
    <row r="759" spans="1:5" x14ac:dyDescent="0.3">
      <c r="A759" s="2">
        <v>45485</v>
      </c>
      <c r="B759">
        <v>6</v>
      </c>
      <c r="C759">
        <v>7</v>
      </c>
      <c r="D759">
        <v>2024</v>
      </c>
      <c r="E759">
        <v>1</v>
      </c>
    </row>
    <row r="760" spans="1:5" x14ac:dyDescent="0.3">
      <c r="A760" s="2">
        <v>45485</v>
      </c>
      <c r="B760">
        <v>6</v>
      </c>
      <c r="C760">
        <v>7</v>
      </c>
      <c r="D760">
        <v>2024</v>
      </c>
      <c r="E760">
        <v>1</v>
      </c>
    </row>
    <row r="761" spans="1:5" x14ac:dyDescent="0.3">
      <c r="A761" s="2">
        <v>45485</v>
      </c>
      <c r="B761">
        <v>6</v>
      </c>
      <c r="C761">
        <v>7</v>
      </c>
      <c r="D761">
        <v>2024</v>
      </c>
      <c r="E761">
        <v>1</v>
      </c>
    </row>
    <row r="762" spans="1:5" x14ac:dyDescent="0.3">
      <c r="A762" s="2">
        <v>45485</v>
      </c>
      <c r="B762">
        <v>6</v>
      </c>
      <c r="C762">
        <v>7</v>
      </c>
      <c r="D762">
        <v>2024</v>
      </c>
      <c r="E762">
        <v>1</v>
      </c>
    </row>
    <row r="763" spans="1:5" x14ac:dyDescent="0.3">
      <c r="A763" s="2">
        <v>45485</v>
      </c>
      <c r="B763">
        <v>6</v>
      </c>
      <c r="C763">
        <v>7</v>
      </c>
      <c r="D763">
        <v>2024</v>
      </c>
      <c r="E763">
        <v>1</v>
      </c>
    </row>
    <row r="764" spans="1:5" x14ac:dyDescent="0.3">
      <c r="A764" s="2">
        <v>45485</v>
      </c>
      <c r="B764">
        <v>6</v>
      </c>
      <c r="C764">
        <v>7</v>
      </c>
      <c r="D764">
        <v>2024</v>
      </c>
      <c r="E764">
        <v>2</v>
      </c>
    </row>
    <row r="765" spans="1:5" x14ac:dyDescent="0.3">
      <c r="A765" s="2">
        <v>45485</v>
      </c>
      <c r="B765">
        <v>6</v>
      </c>
      <c r="C765">
        <v>7</v>
      </c>
      <c r="D765">
        <v>2024</v>
      </c>
      <c r="E765">
        <v>1</v>
      </c>
    </row>
    <row r="766" spans="1:5" x14ac:dyDescent="0.3">
      <c r="A766" s="2">
        <v>45485</v>
      </c>
      <c r="B766">
        <v>6</v>
      </c>
      <c r="C766">
        <v>7</v>
      </c>
      <c r="D766">
        <v>2024</v>
      </c>
      <c r="E766">
        <v>1</v>
      </c>
    </row>
    <row r="767" spans="1:5" x14ac:dyDescent="0.3">
      <c r="A767" s="2">
        <v>45485</v>
      </c>
      <c r="B767">
        <v>6</v>
      </c>
      <c r="C767">
        <v>7</v>
      </c>
      <c r="D767">
        <v>2024</v>
      </c>
      <c r="E767">
        <v>1</v>
      </c>
    </row>
    <row r="768" spans="1:5" x14ac:dyDescent="0.3">
      <c r="A768" s="2">
        <v>45485</v>
      </c>
      <c r="B768">
        <v>6</v>
      </c>
      <c r="C768">
        <v>7</v>
      </c>
      <c r="D768">
        <v>2024</v>
      </c>
      <c r="E768">
        <v>1</v>
      </c>
    </row>
    <row r="769" spans="1:5" x14ac:dyDescent="0.3">
      <c r="A769" s="2">
        <v>45486</v>
      </c>
      <c r="B769">
        <v>7</v>
      </c>
      <c r="C769">
        <v>7</v>
      </c>
      <c r="D769">
        <v>2024</v>
      </c>
      <c r="E769">
        <v>1</v>
      </c>
    </row>
    <row r="770" spans="1:5" x14ac:dyDescent="0.3">
      <c r="A770" s="2">
        <v>45486</v>
      </c>
      <c r="B770">
        <v>7</v>
      </c>
      <c r="C770">
        <v>7</v>
      </c>
      <c r="D770">
        <v>2024</v>
      </c>
      <c r="E770">
        <v>2</v>
      </c>
    </row>
    <row r="771" spans="1:5" x14ac:dyDescent="0.3">
      <c r="A771" s="2">
        <v>45486</v>
      </c>
      <c r="B771">
        <v>7</v>
      </c>
      <c r="C771">
        <v>7</v>
      </c>
      <c r="D771">
        <v>2024</v>
      </c>
      <c r="E771">
        <v>2</v>
      </c>
    </row>
    <row r="772" spans="1:5" x14ac:dyDescent="0.3">
      <c r="A772" s="2">
        <v>45486</v>
      </c>
      <c r="B772">
        <v>7</v>
      </c>
      <c r="C772">
        <v>7</v>
      </c>
      <c r="D772">
        <v>2024</v>
      </c>
      <c r="E772">
        <v>1</v>
      </c>
    </row>
    <row r="773" spans="1:5" x14ac:dyDescent="0.3">
      <c r="A773" s="2">
        <v>45487</v>
      </c>
      <c r="B773">
        <v>1</v>
      </c>
      <c r="C773">
        <v>7</v>
      </c>
      <c r="D773">
        <v>2024</v>
      </c>
      <c r="E773">
        <v>1</v>
      </c>
    </row>
    <row r="774" spans="1:5" x14ac:dyDescent="0.3">
      <c r="A774" s="2">
        <v>45487</v>
      </c>
      <c r="B774">
        <v>1</v>
      </c>
      <c r="C774">
        <v>7</v>
      </c>
      <c r="D774">
        <v>2024</v>
      </c>
      <c r="E774">
        <v>1</v>
      </c>
    </row>
    <row r="775" spans="1:5" x14ac:dyDescent="0.3">
      <c r="A775" s="2">
        <v>45487</v>
      </c>
      <c r="B775">
        <v>1</v>
      </c>
      <c r="C775">
        <v>7</v>
      </c>
      <c r="D775">
        <v>2024</v>
      </c>
      <c r="E775">
        <v>2</v>
      </c>
    </row>
    <row r="776" spans="1:5" x14ac:dyDescent="0.3">
      <c r="A776" s="2">
        <v>45487</v>
      </c>
      <c r="B776">
        <v>1</v>
      </c>
      <c r="C776">
        <v>7</v>
      </c>
      <c r="D776">
        <v>2024</v>
      </c>
      <c r="E776">
        <v>2</v>
      </c>
    </row>
    <row r="777" spans="1:5" x14ac:dyDescent="0.3">
      <c r="A777" s="2">
        <v>45487</v>
      </c>
      <c r="B777">
        <v>1</v>
      </c>
      <c r="C777">
        <v>7</v>
      </c>
      <c r="D777">
        <v>2024</v>
      </c>
      <c r="E777">
        <v>2</v>
      </c>
    </row>
    <row r="778" spans="1:5" x14ac:dyDescent="0.3">
      <c r="A778" s="2">
        <v>45487</v>
      </c>
      <c r="B778">
        <v>1</v>
      </c>
      <c r="C778">
        <v>7</v>
      </c>
      <c r="D778">
        <v>2024</v>
      </c>
      <c r="E778">
        <v>2</v>
      </c>
    </row>
    <row r="779" spans="1:5" x14ac:dyDescent="0.3">
      <c r="A779" s="2">
        <v>45488</v>
      </c>
      <c r="B779">
        <v>2</v>
      </c>
      <c r="C779">
        <v>7</v>
      </c>
      <c r="D779">
        <v>2024</v>
      </c>
      <c r="E779">
        <v>1</v>
      </c>
    </row>
    <row r="780" spans="1:5" x14ac:dyDescent="0.3">
      <c r="A780" s="2">
        <v>45488</v>
      </c>
      <c r="B780">
        <v>2</v>
      </c>
      <c r="C780">
        <v>7</v>
      </c>
      <c r="D780">
        <v>2024</v>
      </c>
      <c r="E780">
        <v>1</v>
      </c>
    </row>
    <row r="781" spans="1:5" x14ac:dyDescent="0.3">
      <c r="A781" s="2">
        <v>45488</v>
      </c>
      <c r="B781">
        <v>2</v>
      </c>
      <c r="C781">
        <v>7</v>
      </c>
      <c r="D781">
        <v>2024</v>
      </c>
      <c r="E781">
        <v>1</v>
      </c>
    </row>
    <row r="782" spans="1:5" x14ac:dyDescent="0.3">
      <c r="A782" s="2">
        <v>45488</v>
      </c>
      <c r="B782">
        <v>2</v>
      </c>
      <c r="C782">
        <v>7</v>
      </c>
      <c r="D782">
        <v>2024</v>
      </c>
      <c r="E782">
        <v>1</v>
      </c>
    </row>
    <row r="783" spans="1:5" x14ac:dyDescent="0.3">
      <c r="A783" s="2">
        <v>45488</v>
      </c>
      <c r="B783">
        <v>2</v>
      </c>
      <c r="C783">
        <v>7</v>
      </c>
      <c r="D783">
        <v>2024</v>
      </c>
      <c r="E783">
        <v>1</v>
      </c>
    </row>
    <row r="784" spans="1:5" x14ac:dyDescent="0.3">
      <c r="A784" s="2">
        <v>45488</v>
      </c>
      <c r="B784">
        <v>2</v>
      </c>
      <c r="C784">
        <v>7</v>
      </c>
      <c r="D784">
        <v>2024</v>
      </c>
      <c r="E784">
        <v>1</v>
      </c>
    </row>
    <row r="785" spans="1:5" x14ac:dyDescent="0.3">
      <c r="A785" s="2">
        <v>45488</v>
      </c>
      <c r="B785">
        <v>2</v>
      </c>
      <c r="C785">
        <v>7</v>
      </c>
      <c r="D785">
        <v>2024</v>
      </c>
      <c r="E785">
        <v>2</v>
      </c>
    </row>
    <row r="786" spans="1:5" x14ac:dyDescent="0.3">
      <c r="A786" s="2">
        <v>45488</v>
      </c>
      <c r="B786">
        <v>2</v>
      </c>
      <c r="C786">
        <v>7</v>
      </c>
      <c r="D786">
        <v>2024</v>
      </c>
      <c r="E786">
        <v>2</v>
      </c>
    </row>
    <row r="787" spans="1:5" x14ac:dyDescent="0.3">
      <c r="A787" s="2">
        <v>45488</v>
      </c>
      <c r="B787">
        <v>2</v>
      </c>
      <c r="C787">
        <v>7</v>
      </c>
      <c r="D787">
        <v>2024</v>
      </c>
      <c r="E787">
        <v>2</v>
      </c>
    </row>
    <row r="788" spans="1:5" x14ac:dyDescent="0.3">
      <c r="A788" s="2">
        <v>45489</v>
      </c>
      <c r="B788">
        <v>3</v>
      </c>
      <c r="C788">
        <v>7</v>
      </c>
      <c r="D788">
        <v>2024</v>
      </c>
      <c r="E788">
        <v>1</v>
      </c>
    </row>
    <row r="789" spans="1:5" x14ac:dyDescent="0.3">
      <c r="A789" s="2">
        <v>45489</v>
      </c>
      <c r="B789">
        <v>3</v>
      </c>
      <c r="C789">
        <v>7</v>
      </c>
      <c r="D789">
        <v>2024</v>
      </c>
      <c r="E789">
        <v>2</v>
      </c>
    </row>
    <row r="790" spans="1:5" x14ac:dyDescent="0.3">
      <c r="A790" s="2">
        <v>45489</v>
      </c>
      <c r="B790">
        <v>3</v>
      </c>
      <c r="C790">
        <v>7</v>
      </c>
      <c r="D790">
        <v>2024</v>
      </c>
      <c r="E790">
        <v>3</v>
      </c>
    </row>
    <row r="791" spans="1:5" x14ac:dyDescent="0.3">
      <c r="A791" s="2">
        <v>45489</v>
      </c>
      <c r="B791">
        <v>3</v>
      </c>
      <c r="C791">
        <v>7</v>
      </c>
      <c r="D791">
        <v>2024</v>
      </c>
      <c r="E791">
        <v>1</v>
      </c>
    </row>
    <row r="792" spans="1:5" x14ac:dyDescent="0.3">
      <c r="A792" s="2">
        <v>45489</v>
      </c>
      <c r="B792">
        <v>3</v>
      </c>
      <c r="C792">
        <v>7</v>
      </c>
      <c r="D792">
        <v>2024</v>
      </c>
      <c r="E792">
        <v>1</v>
      </c>
    </row>
    <row r="793" spans="1:5" x14ac:dyDescent="0.3">
      <c r="A793" s="2">
        <v>45489</v>
      </c>
      <c r="B793">
        <v>3</v>
      </c>
      <c r="C793">
        <v>7</v>
      </c>
      <c r="D793">
        <v>2024</v>
      </c>
      <c r="E793">
        <v>1</v>
      </c>
    </row>
    <row r="794" spans="1:5" x14ac:dyDescent="0.3">
      <c r="A794" s="2">
        <v>45489</v>
      </c>
      <c r="B794">
        <v>3</v>
      </c>
      <c r="C794">
        <v>7</v>
      </c>
      <c r="D794">
        <v>2024</v>
      </c>
      <c r="E794">
        <v>1</v>
      </c>
    </row>
    <row r="795" spans="1:5" x14ac:dyDescent="0.3">
      <c r="A795" s="2">
        <v>45489</v>
      </c>
      <c r="B795">
        <v>3</v>
      </c>
      <c r="C795">
        <v>7</v>
      </c>
      <c r="D795">
        <v>2024</v>
      </c>
      <c r="E795">
        <v>1</v>
      </c>
    </row>
    <row r="796" spans="1:5" x14ac:dyDescent="0.3">
      <c r="A796" s="2">
        <v>45489</v>
      </c>
      <c r="B796">
        <v>3</v>
      </c>
      <c r="C796">
        <v>7</v>
      </c>
      <c r="D796">
        <v>2024</v>
      </c>
      <c r="E796">
        <v>1</v>
      </c>
    </row>
    <row r="797" spans="1:5" x14ac:dyDescent="0.3">
      <c r="A797" s="2">
        <v>45489</v>
      </c>
      <c r="B797">
        <v>3</v>
      </c>
      <c r="C797">
        <v>7</v>
      </c>
      <c r="D797">
        <v>2024</v>
      </c>
      <c r="E797">
        <v>1</v>
      </c>
    </row>
    <row r="798" spans="1:5" x14ac:dyDescent="0.3">
      <c r="A798" s="2">
        <v>45490</v>
      </c>
      <c r="B798">
        <v>4</v>
      </c>
      <c r="C798">
        <v>7</v>
      </c>
      <c r="D798">
        <v>2024</v>
      </c>
      <c r="E798">
        <v>2</v>
      </c>
    </row>
    <row r="799" spans="1:5" x14ac:dyDescent="0.3">
      <c r="A799" s="2">
        <v>45490</v>
      </c>
      <c r="B799">
        <v>4</v>
      </c>
      <c r="C799">
        <v>7</v>
      </c>
      <c r="D799">
        <v>2024</v>
      </c>
      <c r="E799">
        <v>1</v>
      </c>
    </row>
    <row r="800" spans="1:5" x14ac:dyDescent="0.3">
      <c r="A800" s="2">
        <v>45490</v>
      </c>
      <c r="B800">
        <v>4</v>
      </c>
      <c r="C800">
        <v>7</v>
      </c>
      <c r="D800">
        <v>2024</v>
      </c>
      <c r="E800">
        <v>1</v>
      </c>
    </row>
    <row r="801" spans="1:5" x14ac:dyDescent="0.3">
      <c r="A801" s="2">
        <v>45490</v>
      </c>
      <c r="B801">
        <v>4</v>
      </c>
      <c r="C801">
        <v>7</v>
      </c>
      <c r="D801">
        <v>2024</v>
      </c>
      <c r="E801">
        <v>2</v>
      </c>
    </row>
    <row r="802" spans="1:5" x14ac:dyDescent="0.3">
      <c r="A802" s="2">
        <v>45490</v>
      </c>
      <c r="B802">
        <v>4</v>
      </c>
      <c r="C802">
        <v>7</v>
      </c>
      <c r="D802">
        <v>2024</v>
      </c>
      <c r="E802">
        <v>1</v>
      </c>
    </row>
    <row r="803" spans="1:5" x14ac:dyDescent="0.3">
      <c r="A803" s="2">
        <v>45490</v>
      </c>
      <c r="B803">
        <v>4</v>
      </c>
      <c r="C803">
        <v>7</v>
      </c>
      <c r="D803">
        <v>2024</v>
      </c>
      <c r="E803">
        <v>1</v>
      </c>
    </row>
    <row r="804" spans="1:5" x14ac:dyDescent="0.3">
      <c r="A804" s="2">
        <v>45490</v>
      </c>
      <c r="B804">
        <v>4</v>
      </c>
      <c r="C804">
        <v>7</v>
      </c>
      <c r="D804">
        <v>2024</v>
      </c>
      <c r="E804">
        <v>1</v>
      </c>
    </row>
    <row r="805" spans="1:5" x14ac:dyDescent="0.3">
      <c r="A805" s="2">
        <v>45491</v>
      </c>
      <c r="B805">
        <v>5</v>
      </c>
      <c r="C805">
        <v>7</v>
      </c>
      <c r="D805">
        <v>2024</v>
      </c>
      <c r="E805">
        <v>1</v>
      </c>
    </row>
    <row r="806" spans="1:5" x14ac:dyDescent="0.3">
      <c r="A806" s="2">
        <v>45491</v>
      </c>
      <c r="B806">
        <v>5</v>
      </c>
      <c r="C806">
        <v>7</v>
      </c>
      <c r="D806">
        <v>2024</v>
      </c>
      <c r="E806">
        <v>1</v>
      </c>
    </row>
    <row r="807" spans="1:5" x14ac:dyDescent="0.3">
      <c r="A807" s="2">
        <v>45491</v>
      </c>
      <c r="B807">
        <v>5</v>
      </c>
      <c r="C807">
        <v>7</v>
      </c>
      <c r="D807">
        <v>2024</v>
      </c>
      <c r="E807">
        <v>1</v>
      </c>
    </row>
    <row r="808" spans="1:5" x14ac:dyDescent="0.3">
      <c r="A808" s="2">
        <v>45491</v>
      </c>
      <c r="B808">
        <v>5</v>
      </c>
      <c r="C808">
        <v>7</v>
      </c>
      <c r="D808">
        <v>2024</v>
      </c>
      <c r="E808">
        <v>1</v>
      </c>
    </row>
    <row r="809" spans="1:5" x14ac:dyDescent="0.3">
      <c r="A809" s="2">
        <v>45491</v>
      </c>
      <c r="B809">
        <v>5</v>
      </c>
      <c r="C809">
        <v>7</v>
      </c>
      <c r="D809">
        <v>2024</v>
      </c>
      <c r="E809">
        <v>1</v>
      </c>
    </row>
    <row r="810" spans="1:5" x14ac:dyDescent="0.3">
      <c r="A810" s="2">
        <v>45492</v>
      </c>
      <c r="B810">
        <v>6</v>
      </c>
      <c r="C810">
        <v>7</v>
      </c>
      <c r="D810">
        <v>2024</v>
      </c>
      <c r="E810">
        <v>1</v>
      </c>
    </row>
    <row r="811" spans="1:5" x14ac:dyDescent="0.3">
      <c r="A811" s="2">
        <v>45492</v>
      </c>
      <c r="B811">
        <v>6</v>
      </c>
      <c r="C811">
        <v>7</v>
      </c>
      <c r="D811">
        <v>2024</v>
      </c>
      <c r="E811">
        <v>2</v>
      </c>
    </row>
    <row r="812" spans="1:5" x14ac:dyDescent="0.3">
      <c r="A812" s="2">
        <v>45492</v>
      </c>
      <c r="B812">
        <v>6</v>
      </c>
      <c r="C812">
        <v>7</v>
      </c>
      <c r="D812">
        <v>2024</v>
      </c>
      <c r="E812">
        <v>1</v>
      </c>
    </row>
    <row r="813" spans="1:5" x14ac:dyDescent="0.3">
      <c r="A813" s="2">
        <v>45492</v>
      </c>
      <c r="B813">
        <v>6</v>
      </c>
      <c r="C813">
        <v>7</v>
      </c>
      <c r="D813">
        <v>2024</v>
      </c>
      <c r="E813">
        <v>2</v>
      </c>
    </row>
    <row r="814" spans="1:5" x14ac:dyDescent="0.3">
      <c r="A814" s="2">
        <v>45492</v>
      </c>
      <c r="B814">
        <v>6</v>
      </c>
      <c r="C814">
        <v>7</v>
      </c>
      <c r="D814">
        <v>2024</v>
      </c>
      <c r="E814">
        <v>1</v>
      </c>
    </row>
    <row r="815" spans="1:5" x14ac:dyDescent="0.3">
      <c r="A815" s="2">
        <v>45492</v>
      </c>
      <c r="B815">
        <v>6</v>
      </c>
      <c r="C815">
        <v>7</v>
      </c>
      <c r="D815">
        <v>2024</v>
      </c>
      <c r="E815">
        <v>3</v>
      </c>
    </row>
    <row r="816" spans="1:5" x14ac:dyDescent="0.3">
      <c r="A816" s="2">
        <v>45493</v>
      </c>
      <c r="B816">
        <v>7</v>
      </c>
      <c r="C816">
        <v>7</v>
      </c>
      <c r="D816">
        <v>2024</v>
      </c>
      <c r="E816">
        <v>1</v>
      </c>
    </row>
    <row r="817" spans="1:5" x14ac:dyDescent="0.3">
      <c r="A817" s="2">
        <v>45493</v>
      </c>
      <c r="B817">
        <v>7</v>
      </c>
      <c r="C817">
        <v>7</v>
      </c>
      <c r="D817">
        <v>2024</v>
      </c>
      <c r="E817">
        <v>1</v>
      </c>
    </row>
    <row r="818" spans="1:5" x14ac:dyDescent="0.3">
      <c r="A818" s="2">
        <v>45493</v>
      </c>
      <c r="B818">
        <v>7</v>
      </c>
      <c r="C818">
        <v>7</v>
      </c>
      <c r="D818">
        <v>2024</v>
      </c>
      <c r="E818">
        <v>1</v>
      </c>
    </row>
    <row r="819" spans="1:5" x14ac:dyDescent="0.3">
      <c r="A819" s="2">
        <v>45493</v>
      </c>
      <c r="B819">
        <v>7</v>
      </c>
      <c r="C819">
        <v>7</v>
      </c>
      <c r="D819">
        <v>2024</v>
      </c>
      <c r="E819">
        <v>3</v>
      </c>
    </row>
    <row r="820" spans="1:5" x14ac:dyDescent="0.3">
      <c r="A820" s="2">
        <v>45494</v>
      </c>
      <c r="B820">
        <v>1</v>
      </c>
      <c r="C820">
        <v>7</v>
      </c>
      <c r="D820">
        <v>2024</v>
      </c>
      <c r="E820">
        <v>1</v>
      </c>
    </row>
    <row r="821" spans="1:5" x14ac:dyDescent="0.3">
      <c r="A821" s="2">
        <v>45494</v>
      </c>
      <c r="B821">
        <v>1</v>
      </c>
      <c r="C821">
        <v>7</v>
      </c>
      <c r="D821">
        <v>2024</v>
      </c>
      <c r="E821">
        <v>2</v>
      </c>
    </row>
    <row r="822" spans="1:5" x14ac:dyDescent="0.3">
      <c r="A822" s="2">
        <v>45494</v>
      </c>
      <c r="B822">
        <v>1</v>
      </c>
      <c r="C822">
        <v>7</v>
      </c>
      <c r="D822">
        <v>2024</v>
      </c>
      <c r="E822">
        <v>1</v>
      </c>
    </row>
    <row r="823" spans="1:5" x14ac:dyDescent="0.3">
      <c r="A823" s="2">
        <v>45494</v>
      </c>
      <c r="B823">
        <v>1</v>
      </c>
      <c r="C823">
        <v>7</v>
      </c>
      <c r="D823">
        <v>2024</v>
      </c>
      <c r="E823">
        <v>1</v>
      </c>
    </row>
    <row r="824" spans="1:5" x14ac:dyDescent="0.3">
      <c r="A824" s="2">
        <v>45494</v>
      </c>
      <c r="B824">
        <v>1</v>
      </c>
      <c r="C824">
        <v>7</v>
      </c>
      <c r="D824">
        <v>2024</v>
      </c>
      <c r="E824">
        <v>1</v>
      </c>
    </row>
    <row r="825" spans="1:5" x14ac:dyDescent="0.3">
      <c r="A825" s="2">
        <v>45494</v>
      </c>
      <c r="B825">
        <v>1</v>
      </c>
      <c r="C825">
        <v>7</v>
      </c>
      <c r="D825">
        <v>2024</v>
      </c>
      <c r="E825">
        <v>2</v>
      </c>
    </row>
    <row r="826" spans="1:5" x14ac:dyDescent="0.3">
      <c r="A826" s="2">
        <v>45494</v>
      </c>
      <c r="B826">
        <v>1</v>
      </c>
      <c r="C826">
        <v>7</v>
      </c>
      <c r="D826">
        <v>2024</v>
      </c>
      <c r="E826">
        <v>1</v>
      </c>
    </row>
    <row r="827" spans="1:5" x14ac:dyDescent="0.3">
      <c r="A827" s="2">
        <v>45494</v>
      </c>
      <c r="B827">
        <v>1</v>
      </c>
      <c r="C827">
        <v>7</v>
      </c>
      <c r="D827">
        <v>2024</v>
      </c>
      <c r="E827">
        <v>1</v>
      </c>
    </row>
    <row r="828" spans="1:5" x14ac:dyDescent="0.3">
      <c r="A828" s="2">
        <v>45495</v>
      </c>
      <c r="B828">
        <v>2</v>
      </c>
      <c r="C828">
        <v>7</v>
      </c>
      <c r="D828">
        <v>2024</v>
      </c>
      <c r="E828">
        <v>2</v>
      </c>
    </row>
    <row r="829" spans="1:5" x14ac:dyDescent="0.3">
      <c r="A829" s="2">
        <v>45495</v>
      </c>
      <c r="B829">
        <v>2</v>
      </c>
      <c r="C829">
        <v>7</v>
      </c>
      <c r="D829">
        <v>2024</v>
      </c>
      <c r="E829">
        <v>1</v>
      </c>
    </row>
    <row r="830" spans="1:5" x14ac:dyDescent="0.3">
      <c r="A830" s="2">
        <v>45495</v>
      </c>
      <c r="B830">
        <v>2</v>
      </c>
      <c r="C830">
        <v>7</v>
      </c>
      <c r="D830">
        <v>2024</v>
      </c>
      <c r="E830">
        <v>1</v>
      </c>
    </row>
    <row r="831" spans="1:5" x14ac:dyDescent="0.3">
      <c r="A831" s="2">
        <v>45496</v>
      </c>
      <c r="B831">
        <v>3</v>
      </c>
      <c r="C831">
        <v>7</v>
      </c>
      <c r="D831">
        <v>2024</v>
      </c>
      <c r="E831">
        <v>1</v>
      </c>
    </row>
    <row r="832" spans="1:5" x14ac:dyDescent="0.3">
      <c r="A832" s="2">
        <v>45497</v>
      </c>
      <c r="B832">
        <v>4</v>
      </c>
      <c r="C832">
        <v>7</v>
      </c>
      <c r="D832">
        <v>2024</v>
      </c>
      <c r="E832">
        <v>1</v>
      </c>
    </row>
    <row r="833" spans="1:5" x14ac:dyDescent="0.3">
      <c r="A833" s="2">
        <v>45497</v>
      </c>
      <c r="B833">
        <v>4</v>
      </c>
      <c r="C833">
        <v>7</v>
      </c>
      <c r="D833">
        <v>2024</v>
      </c>
      <c r="E833">
        <v>1</v>
      </c>
    </row>
    <row r="834" spans="1:5" x14ac:dyDescent="0.3">
      <c r="A834" s="2">
        <v>45498</v>
      </c>
      <c r="B834">
        <v>5</v>
      </c>
      <c r="C834">
        <v>7</v>
      </c>
      <c r="D834">
        <v>2024</v>
      </c>
      <c r="E834">
        <v>1</v>
      </c>
    </row>
    <row r="835" spans="1:5" x14ac:dyDescent="0.3">
      <c r="A835" s="2">
        <v>45498</v>
      </c>
      <c r="B835">
        <v>5</v>
      </c>
      <c r="C835">
        <v>7</v>
      </c>
      <c r="D835">
        <v>2024</v>
      </c>
      <c r="E835">
        <v>1</v>
      </c>
    </row>
    <row r="836" spans="1:5" x14ac:dyDescent="0.3">
      <c r="A836" s="2">
        <v>45498</v>
      </c>
      <c r="B836">
        <v>5</v>
      </c>
      <c r="C836">
        <v>7</v>
      </c>
      <c r="D836">
        <v>2024</v>
      </c>
      <c r="E836">
        <v>1</v>
      </c>
    </row>
    <row r="837" spans="1:5" x14ac:dyDescent="0.3">
      <c r="A837" s="2">
        <v>45498</v>
      </c>
      <c r="B837">
        <v>5</v>
      </c>
      <c r="C837">
        <v>7</v>
      </c>
      <c r="D837">
        <v>2024</v>
      </c>
      <c r="E837">
        <v>1</v>
      </c>
    </row>
    <row r="838" spans="1:5" x14ac:dyDescent="0.3">
      <c r="A838" s="2">
        <v>45498</v>
      </c>
      <c r="B838">
        <v>5</v>
      </c>
      <c r="C838">
        <v>7</v>
      </c>
      <c r="D838">
        <v>2024</v>
      </c>
      <c r="E838">
        <v>1</v>
      </c>
    </row>
    <row r="839" spans="1:5" x14ac:dyDescent="0.3">
      <c r="A839" s="2">
        <v>45499</v>
      </c>
      <c r="B839">
        <v>6</v>
      </c>
      <c r="C839">
        <v>7</v>
      </c>
      <c r="D839">
        <v>2024</v>
      </c>
      <c r="E839">
        <v>1</v>
      </c>
    </row>
    <row r="840" spans="1:5" x14ac:dyDescent="0.3">
      <c r="A840" s="2">
        <v>45499</v>
      </c>
      <c r="B840">
        <v>6</v>
      </c>
      <c r="C840">
        <v>7</v>
      </c>
      <c r="D840">
        <v>2024</v>
      </c>
      <c r="E840">
        <v>1</v>
      </c>
    </row>
    <row r="841" spans="1:5" x14ac:dyDescent="0.3">
      <c r="A841" s="2">
        <v>45499</v>
      </c>
      <c r="B841">
        <v>6</v>
      </c>
      <c r="C841">
        <v>7</v>
      </c>
      <c r="D841">
        <v>2024</v>
      </c>
      <c r="E841">
        <v>1</v>
      </c>
    </row>
    <row r="842" spans="1:5" x14ac:dyDescent="0.3">
      <c r="A842" s="2">
        <v>45499</v>
      </c>
      <c r="B842">
        <v>6</v>
      </c>
      <c r="C842">
        <v>7</v>
      </c>
      <c r="D842">
        <v>2024</v>
      </c>
      <c r="E842">
        <v>1</v>
      </c>
    </row>
    <row r="843" spans="1:5" x14ac:dyDescent="0.3">
      <c r="A843" s="2">
        <v>45499</v>
      </c>
      <c r="B843">
        <v>6</v>
      </c>
      <c r="C843">
        <v>7</v>
      </c>
      <c r="D843">
        <v>2024</v>
      </c>
      <c r="E843">
        <v>1</v>
      </c>
    </row>
    <row r="844" spans="1:5" x14ac:dyDescent="0.3">
      <c r="A844" s="2">
        <v>45500</v>
      </c>
      <c r="B844">
        <v>7</v>
      </c>
      <c r="C844">
        <v>7</v>
      </c>
      <c r="D844">
        <v>2024</v>
      </c>
      <c r="E844">
        <v>1</v>
      </c>
    </row>
    <row r="845" spans="1:5" x14ac:dyDescent="0.3">
      <c r="A845" s="2">
        <v>45500</v>
      </c>
      <c r="B845">
        <v>7</v>
      </c>
      <c r="C845">
        <v>7</v>
      </c>
      <c r="D845">
        <v>2024</v>
      </c>
      <c r="E845">
        <v>1</v>
      </c>
    </row>
    <row r="846" spans="1:5" x14ac:dyDescent="0.3">
      <c r="A846" s="2">
        <v>45500</v>
      </c>
      <c r="B846">
        <v>7</v>
      </c>
      <c r="C846">
        <v>7</v>
      </c>
      <c r="D846">
        <v>2024</v>
      </c>
      <c r="E846">
        <v>1</v>
      </c>
    </row>
    <row r="847" spans="1:5" x14ac:dyDescent="0.3">
      <c r="A847" s="2">
        <v>45500</v>
      </c>
      <c r="B847">
        <v>7</v>
      </c>
      <c r="C847">
        <v>7</v>
      </c>
      <c r="D847">
        <v>2024</v>
      </c>
      <c r="E847">
        <v>2</v>
      </c>
    </row>
    <row r="848" spans="1:5" x14ac:dyDescent="0.3">
      <c r="A848" s="2">
        <v>45500</v>
      </c>
      <c r="B848">
        <v>7</v>
      </c>
      <c r="C848">
        <v>7</v>
      </c>
      <c r="D848">
        <v>2024</v>
      </c>
      <c r="E848">
        <v>1</v>
      </c>
    </row>
    <row r="849" spans="1:5" x14ac:dyDescent="0.3">
      <c r="A849" s="2">
        <v>45501</v>
      </c>
      <c r="B849">
        <v>1</v>
      </c>
      <c r="C849">
        <v>7</v>
      </c>
      <c r="D849">
        <v>2024</v>
      </c>
      <c r="E849">
        <v>4</v>
      </c>
    </row>
    <row r="850" spans="1:5" x14ac:dyDescent="0.3">
      <c r="A850" s="2">
        <v>45501</v>
      </c>
      <c r="B850">
        <v>1</v>
      </c>
      <c r="C850">
        <v>7</v>
      </c>
      <c r="D850">
        <v>2024</v>
      </c>
      <c r="E850">
        <v>1</v>
      </c>
    </row>
    <row r="851" spans="1:5" x14ac:dyDescent="0.3">
      <c r="A851" s="2">
        <v>45501</v>
      </c>
      <c r="B851">
        <v>1</v>
      </c>
      <c r="C851">
        <v>7</v>
      </c>
      <c r="D851">
        <v>2024</v>
      </c>
      <c r="E851">
        <v>1</v>
      </c>
    </row>
    <row r="852" spans="1:5" x14ac:dyDescent="0.3">
      <c r="A852" s="2">
        <v>45501</v>
      </c>
      <c r="B852">
        <v>1</v>
      </c>
      <c r="C852">
        <v>7</v>
      </c>
      <c r="D852">
        <v>2024</v>
      </c>
      <c r="E852">
        <v>2</v>
      </c>
    </row>
    <row r="853" spans="1:5" x14ac:dyDescent="0.3">
      <c r="A853" s="2">
        <v>45501</v>
      </c>
      <c r="B853">
        <v>1</v>
      </c>
      <c r="C853">
        <v>7</v>
      </c>
      <c r="D853">
        <v>2024</v>
      </c>
      <c r="E853">
        <v>1</v>
      </c>
    </row>
    <row r="854" spans="1:5" x14ac:dyDescent="0.3">
      <c r="A854" s="2">
        <v>45501</v>
      </c>
      <c r="B854">
        <v>1</v>
      </c>
      <c r="C854">
        <v>7</v>
      </c>
      <c r="D854">
        <v>2024</v>
      </c>
      <c r="E854">
        <v>1</v>
      </c>
    </row>
    <row r="855" spans="1:5" x14ac:dyDescent="0.3">
      <c r="A855" s="2">
        <v>45501</v>
      </c>
      <c r="B855">
        <v>1</v>
      </c>
      <c r="C855">
        <v>7</v>
      </c>
      <c r="D855">
        <v>2024</v>
      </c>
      <c r="E855">
        <v>2</v>
      </c>
    </row>
    <row r="856" spans="1:5" x14ac:dyDescent="0.3">
      <c r="A856" s="2">
        <v>45501</v>
      </c>
      <c r="B856">
        <v>1</v>
      </c>
      <c r="C856">
        <v>7</v>
      </c>
      <c r="D856">
        <v>2024</v>
      </c>
      <c r="E856">
        <v>1</v>
      </c>
    </row>
    <row r="857" spans="1:5" x14ac:dyDescent="0.3">
      <c r="A857" s="2">
        <v>45502</v>
      </c>
      <c r="B857">
        <v>2</v>
      </c>
      <c r="C857">
        <v>7</v>
      </c>
      <c r="D857">
        <v>2024</v>
      </c>
      <c r="E857">
        <v>1</v>
      </c>
    </row>
    <row r="858" spans="1:5" x14ac:dyDescent="0.3">
      <c r="A858" s="2">
        <v>45502</v>
      </c>
      <c r="B858">
        <v>2</v>
      </c>
      <c r="C858">
        <v>7</v>
      </c>
      <c r="D858">
        <v>2024</v>
      </c>
      <c r="E858">
        <v>1</v>
      </c>
    </row>
    <row r="859" spans="1:5" x14ac:dyDescent="0.3">
      <c r="A859" s="2">
        <v>45502</v>
      </c>
      <c r="B859">
        <v>2</v>
      </c>
      <c r="C859">
        <v>7</v>
      </c>
      <c r="D859">
        <v>2024</v>
      </c>
      <c r="E859">
        <v>1</v>
      </c>
    </row>
    <row r="860" spans="1:5" x14ac:dyDescent="0.3">
      <c r="A860" s="2">
        <v>45502</v>
      </c>
      <c r="B860">
        <v>2</v>
      </c>
      <c r="C860">
        <v>7</v>
      </c>
      <c r="D860">
        <v>2024</v>
      </c>
      <c r="E860">
        <v>1</v>
      </c>
    </row>
    <row r="861" spans="1:5" x14ac:dyDescent="0.3">
      <c r="A861" s="2">
        <v>45502</v>
      </c>
      <c r="B861">
        <v>2</v>
      </c>
      <c r="C861">
        <v>7</v>
      </c>
      <c r="D861">
        <v>2024</v>
      </c>
      <c r="E861">
        <v>2</v>
      </c>
    </row>
    <row r="862" spans="1:5" x14ac:dyDescent="0.3">
      <c r="A862" s="2">
        <v>45502</v>
      </c>
      <c r="B862">
        <v>2</v>
      </c>
      <c r="C862">
        <v>7</v>
      </c>
      <c r="D862">
        <v>2024</v>
      </c>
      <c r="E862">
        <v>1</v>
      </c>
    </row>
    <row r="863" spans="1:5" x14ac:dyDescent="0.3">
      <c r="A863" s="2">
        <v>45502</v>
      </c>
      <c r="B863">
        <v>2</v>
      </c>
      <c r="C863">
        <v>7</v>
      </c>
      <c r="D863">
        <v>2024</v>
      </c>
      <c r="E863">
        <v>1</v>
      </c>
    </row>
    <row r="864" spans="1:5" x14ac:dyDescent="0.3">
      <c r="A864" s="2">
        <v>45503</v>
      </c>
      <c r="B864">
        <v>3</v>
      </c>
      <c r="C864">
        <v>7</v>
      </c>
      <c r="D864">
        <v>2024</v>
      </c>
      <c r="E864">
        <v>1</v>
      </c>
    </row>
    <row r="865" spans="1:5" x14ac:dyDescent="0.3">
      <c r="A865" s="2">
        <v>45503</v>
      </c>
      <c r="B865">
        <v>3</v>
      </c>
      <c r="C865">
        <v>7</v>
      </c>
      <c r="D865">
        <v>2024</v>
      </c>
      <c r="E865">
        <v>1</v>
      </c>
    </row>
    <row r="866" spans="1:5" x14ac:dyDescent="0.3">
      <c r="A866" s="2">
        <v>45503</v>
      </c>
      <c r="B866">
        <v>3</v>
      </c>
      <c r="C866">
        <v>7</v>
      </c>
      <c r="D866">
        <v>2024</v>
      </c>
      <c r="E866">
        <v>3</v>
      </c>
    </row>
    <row r="867" spans="1:5" x14ac:dyDescent="0.3">
      <c r="A867" s="2">
        <v>45503</v>
      </c>
      <c r="B867">
        <v>3</v>
      </c>
      <c r="C867">
        <v>7</v>
      </c>
      <c r="D867">
        <v>2024</v>
      </c>
      <c r="E867">
        <v>1</v>
      </c>
    </row>
    <row r="868" spans="1:5" x14ac:dyDescent="0.3">
      <c r="A868" s="2">
        <v>45503</v>
      </c>
      <c r="B868">
        <v>3</v>
      </c>
      <c r="C868">
        <v>7</v>
      </c>
      <c r="D868">
        <v>2024</v>
      </c>
      <c r="E868">
        <v>1</v>
      </c>
    </row>
    <row r="869" spans="1:5" x14ac:dyDescent="0.3">
      <c r="A869" s="2">
        <v>45503</v>
      </c>
      <c r="B869">
        <v>3</v>
      </c>
      <c r="C869">
        <v>7</v>
      </c>
      <c r="D869">
        <v>2024</v>
      </c>
      <c r="E869">
        <v>1</v>
      </c>
    </row>
    <row r="870" spans="1:5" x14ac:dyDescent="0.3">
      <c r="A870" s="2">
        <v>45503</v>
      </c>
      <c r="B870">
        <v>3</v>
      </c>
      <c r="C870">
        <v>7</v>
      </c>
      <c r="D870">
        <v>2024</v>
      </c>
      <c r="E870">
        <v>2</v>
      </c>
    </row>
    <row r="871" spans="1:5" x14ac:dyDescent="0.3">
      <c r="A871" s="2">
        <v>45503</v>
      </c>
      <c r="B871">
        <v>3</v>
      </c>
      <c r="C871">
        <v>7</v>
      </c>
      <c r="D871">
        <v>2024</v>
      </c>
      <c r="E871">
        <v>1</v>
      </c>
    </row>
    <row r="872" spans="1:5" x14ac:dyDescent="0.3">
      <c r="A872" s="2">
        <v>45503</v>
      </c>
      <c r="B872">
        <v>3</v>
      </c>
      <c r="C872">
        <v>7</v>
      </c>
      <c r="D872">
        <v>2024</v>
      </c>
      <c r="E872">
        <v>3</v>
      </c>
    </row>
    <row r="873" spans="1:5" x14ac:dyDescent="0.3">
      <c r="A873" s="2">
        <v>45505</v>
      </c>
      <c r="B873">
        <v>5</v>
      </c>
      <c r="C873">
        <v>8</v>
      </c>
      <c r="D873">
        <v>2024</v>
      </c>
      <c r="E873">
        <v>2</v>
      </c>
    </row>
    <row r="874" spans="1:5" x14ac:dyDescent="0.3">
      <c r="A874" s="2">
        <v>45505</v>
      </c>
      <c r="B874">
        <v>5</v>
      </c>
      <c r="C874">
        <v>8</v>
      </c>
      <c r="D874">
        <v>2024</v>
      </c>
      <c r="E874">
        <v>1</v>
      </c>
    </row>
    <row r="875" spans="1:5" x14ac:dyDescent="0.3">
      <c r="A875" s="2">
        <v>45505</v>
      </c>
      <c r="B875">
        <v>5</v>
      </c>
      <c r="C875">
        <v>8</v>
      </c>
      <c r="D875">
        <v>2024</v>
      </c>
      <c r="E875">
        <v>2</v>
      </c>
    </row>
    <row r="876" spans="1:5" x14ac:dyDescent="0.3">
      <c r="A876" s="2">
        <v>45505</v>
      </c>
      <c r="B876">
        <v>5</v>
      </c>
      <c r="C876">
        <v>8</v>
      </c>
      <c r="D876">
        <v>2024</v>
      </c>
      <c r="E876">
        <v>2</v>
      </c>
    </row>
    <row r="877" spans="1:5" x14ac:dyDescent="0.3">
      <c r="A877" s="2">
        <v>45506</v>
      </c>
      <c r="B877">
        <v>6</v>
      </c>
      <c r="C877">
        <v>8</v>
      </c>
      <c r="D877">
        <v>2024</v>
      </c>
      <c r="E877">
        <v>1</v>
      </c>
    </row>
    <row r="878" spans="1:5" x14ac:dyDescent="0.3">
      <c r="A878" s="2">
        <v>45506</v>
      </c>
      <c r="B878">
        <v>6</v>
      </c>
      <c r="C878">
        <v>8</v>
      </c>
      <c r="D878">
        <v>2024</v>
      </c>
      <c r="E878">
        <v>2</v>
      </c>
    </row>
    <row r="879" spans="1:5" x14ac:dyDescent="0.3">
      <c r="A879" s="2">
        <v>45506</v>
      </c>
      <c r="B879">
        <v>6</v>
      </c>
      <c r="C879">
        <v>8</v>
      </c>
      <c r="D879">
        <v>2024</v>
      </c>
      <c r="E879">
        <v>1</v>
      </c>
    </row>
    <row r="880" spans="1:5" x14ac:dyDescent="0.3">
      <c r="A880" s="2">
        <v>45506</v>
      </c>
      <c r="B880">
        <v>6</v>
      </c>
      <c r="C880">
        <v>8</v>
      </c>
      <c r="D880">
        <v>2024</v>
      </c>
      <c r="E880">
        <v>1</v>
      </c>
    </row>
    <row r="881" spans="1:5" x14ac:dyDescent="0.3">
      <c r="A881" s="2">
        <v>45506</v>
      </c>
      <c r="B881">
        <v>6</v>
      </c>
      <c r="C881">
        <v>8</v>
      </c>
      <c r="D881">
        <v>2024</v>
      </c>
      <c r="E881">
        <v>1</v>
      </c>
    </row>
    <row r="882" spans="1:5" x14ac:dyDescent="0.3">
      <c r="A882" s="2">
        <v>45506</v>
      </c>
      <c r="B882">
        <v>6</v>
      </c>
      <c r="C882">
        <v>8</v>
      </c>
      <c r="D882">
        <v>2024</v>
      </c>
      <c r="E882">
        <v>1</v>
      </c>
    </row>
    <row r="883" spans="1:5" x14ac:dyDescent="0.3">
      <c r="A883" s="2">
        <v>45506</v>
      </c>
      <c r="B883">
        <v>6</v>
      </c>
      <c r="C883">
        <v>8</v>
      </c>
      <c r="D883">
        <v>2024</v>
      </c>
      <c r="E883">
        <v>1</v>
      </c>
    </row>
    <row r="884" spans="1:5" x14ac:dyDescent="0.3">
      <c r="A884" s="2">
        <v>45506</v>
      </c>
      <c r="B884">
        <v>6</v>
      </c>
      <c r="C884">
        <v>8</v>
      </c>
      <c r="D884">
        <v>2024</v>
      </c>
      <c r="E884">
        <v>1</v>
      </c>
    </row>
    <row r="885" spans="1:5" x14ac:dyDescent="0.3">
      <c r="A885" s="2">
        <v>45507</v>
      </c>
      <c r="B885">
        <v>7</v>
      </c>
      <c r="C885">
        <v>8</v>
      </c>
      <c r="D885">
        <v>2024</v>
      </c>
      <c r="E885">
        <v>1</v>
      </c>
    </row>
    <row r="886" spans="1:5" x14ac:dyDescent="0.3">
      <c r="A886" s="2">
        <v>45507</v>
      </c>
      <c r="B886">
        <v>7</v>
      </c>
      <c r="C886">
        <v>8</v>
      </c>
      <c r="D886">
        <v>2024</v>
      </c>
      <c r="E886">
        <v>1</v>
      </c>
    </row>
    <row r="887" spans="1:5" x14ac:dyDescent="0.3">
      <c r="A887" s="2">
        <v>45507</v>
      </c>
      <c r="B887">
        <v>7</v>
      </c>
      <c r="C887">
        <v>8</v>
      </c>
      <c r="D887">
        <v>2024</v>
      </c>
      <c r="E887">
        <v>2</v>
      </c>
    </row>
    <row r="888" spans="1:5" x14ac:dyDescent="0.3">
      <c r="A888" s="2">
        <v>45507</v>
      </c>
      <c r="B888">
        <v>7</v>
      </c>
      <c r="C888">
        <v>8</v>
      </c>
      <c r="D888">
        <v>2024</v>
      </c>
      <c r="E888">
        <v>1</v>
      </c>
    </row>
    <row r="889" spans="1:5" x14ac:dyDescent="0.3">
      <c r="A889" s="2">
        <v>45508</v>
      </c>
      <c r="B889">
        <v>1</v>
      </c>
      <c r="C889">
        <v>8</v>
      </c>
      <c r="D889">
        <v>2024</v>
      </c>
      <c r="E889">
        <v>1</v>
      </c>
    </row>
    <row r="890" spans="1:5" x14ac:dyDescent="0.3">
      <c r="A890" s="2">
        <v>45508</v>
      </c>
      <c r="B890">
        <v>1</v>
      </c>
      <c r="C890">
        <v>8</v>
      </c>
      <c r="D890">
        <v>2024</v>
      </c>
      <c r="E890">
        <v>1</v>
      </c>
    </row>
    <row r="891" spans="1:5" x14ac:dyDescent="0.3">
      <c r="A891" s="2">
        <v>45508</v>
      </c>
      <c r="B891">
        <v>1</v>
      </c>
      <c r="C891">
        <v>8</v>
      </c>
      <c r="D891">
        <v>2024</v>
      </c>
      <c r="E891">
        <v>1</v>
      </c>
    </row>
    <row r="892" spans="1:5" x14ac:dyDescent="0.3">
      <c r="A892" s="2">
        <v>45508</v>
      </c>
      <c r="B892">
        <v>1</v>
      </c>
      <c r="C892">
        <v>8</v>
      </c>
      <c r="D892">
        <v>2024</v>
      </c>
      <c r="E892">
        <v>1</v>
      </c>
    </row>
    <row r="893" spans="1:5" x14ac:dyDescent="0.3">
      <c r="A893" s="2">
        <v>45508</v>
      </c>
      <c r="B893">
        <v>1</v>
      </c>
      <c r="C893">
        <v>8</v>
      </c>
      <c r="D893">
        <v>2024</v>
      </c>
      <c r="E893">
        <v>1</v>
      </c>
    </row>
    <row r="894" spans="1:5" x14ac:dyDescent="0.3">
      <c r="A894" s="2">
        <v>45508</v>
      </c>
      <c r="B894">
        <v>1</v>
      </c>
      <c r="C894">
        <v>8</v>
      </c>
      <c r="D894">
        <v>2024</v>
      </c>
      <c r="E894">
        <v>1</v>
      </c>
    </row>
    <row r="895" spans="1:5" x14ac:dyDescent="0.3">
      <c r="A895" s="2">
        <v>45509</v>
      </c>
      <c r="B895">
        <v>2</v>
      </c>
      <c r="C895">
        <v>8</v>
      </c>
      <c r="D895">
        <v>2024</v>
      </c>
      <c r="E895">
        <v>1</v>
      </c>
    </row>
    <row r="896" spans="1:5" x14ac:dyDescent="0.3">
      <c r="A896" s="2">
        <v>45509</v>
      </c>
      <c r="B896">
        <v>2</v>
      </c>
      <c r="C896">
        <v>8</v>
      </c>
      <c r="D896">
        <v>2024</v>
      </c>
      <c r="E896">
        <v>2</v>
      </c>
    </row>
    <row r="897" spans="1:5" x14ac:dyDescent="0.3">
      <c r="A897" s="2">
        <v>45509</v>
      </c>
      <c r="B897">
        <v>2</v>
      </c>
      <c r="C897">
        <v>8</v>
      </c>
      <c r="D897">
        <v>2024</v>
      </c>
      <c r="E897">
        <v>1</v>
      </c>
    </row>
    <row r="898" spans="1:5" x14ac:dyDescent="0.3">
      <c r="A898" s="2">
        <v>45509</v>
      </c>
      <c r="B898">
        <v>2</v>
      </c>
      <c r="C898">
        <v>8</v>
      </c>
      <c r="D898">
        <v>2024</v>
      </c>
      <c r="E898">
        <v>1</v>
      </c>
    </row>
    <row r="899" spans="1:5" x14ac:dyDescent="0.3">
      <c r="A899" s="2">
        <v>45509</v>
      </c>
      <c r="B899">
        <v>2</v>
      </c>
      <c r="C899">
        <v>8</v>
      </c>
      <c r="D899">
        <v>2024</v>
      </c>
      <c r="E899">
        <v>1</v>
      </c>
    </row>
    <row r="900" spans="1:5" x14ac:dyDescent="0.3">
      <c r="A900" s="2">
        <v>45509</v>
      </c>
      <c r="B900">
        <v>2</v>
      </c>
      <c r="C900">
        <v>8</v>
      </c>
      <c r="D900">
        <v>2024</v>
      </c>
      <c r="E900">
        <v>1</v>
      </c>
    </row>
    <row r="901" spans="1:5" x14ac:dyDescent="0.3">
      <c r="A901" s="2">
        <v>45509</v>
      </c>
      <c r="B901">
        <v>2</v>
      </c>
      <c r="C901">
        <v>8</v>
      </c>
      <c r="D901">
        <v>2024</v>
      </c>
      <c r="E901">
        <v>1</v>
      </c>
    </row>
    <row r="902" spans="1:5" x14ac:dyDescent="0.3">
      <c r="A902" s="2">
        <v>45509</v>
      </c>
      <c r="B902">
        <v>2</v>
      </c>
      <c r="C902">
        <v>8</v>
      </c>
      <c r="D902">
        <v>2024</v>
      </c>
      <c r="E902">
        <v>1</v>
      </c>
    </row>
    <row r="903" spans="1:5" x14ac:dyDescent="0.3">
      <c r="A903" s="2">
        <v>45509</v>
      </c>
      <c r="B903">
        <v>2</v>
      </c>
      <c r="C903">
        <v>8</v>
      </c>
      <c r="D903">
        <v>2024</v>
      </c>
      <c r="E903">
        <v>1</v>
      </c>
    </row>
    <row r="904" spans="1:5" x14ac:dyDescent="0.3">
      <c r="A904" s="2">
        <v>45509</v>
      </c>
      <c r="B904">
        <v>2</v>
      </c>
      <c r="C904">
        <v>8</v>
      </c>
      <c r="D904">
        <v>2024</v>
      </c>
      <c r="E904">
        <v>1</v>
      </c>
    </row>
    <row r="905" spans="1:5" x14ac:dyDescent="0.3">
      <c r="A905" s="2">
        <v>45509</v>
      </c>
      <c r="B905">
        <v>2</v>
      </c>
      <c r="C905">
        <v>8</v>
      </c>
      <c r="D905">
        <v>2024</v>
      </c>
      <c r="E905">
        <v>2</v>
      </c>
    </row>
    <row r="906" spans="1:5" x14ac:dyDescent="0.3">
      <c r="A906" s="2">
        <v>45509</v>
      </c>
      <c r="B906">
        <v>2</v>
      </c>
      <c r="C906">
        <v>8</v>
      </c>
      <c r="D906">
        <v>2024</v>
      </c>
      <c r="E906">
        <v>1</v>
      </c>
    </row>
    <row r="907" spans="1:5" x14ac:dyDescent="0.3">
      <c r="A907" s="2">
        <v>45510</v>
      </c>
      <c r="B907">
        <v>3</v>
      </c>
      <c r="C907">
        <v>8</v>
      </c>
      <c r="D907">
        <v>2024</v>
      </c>
      <c r="E907">
        <v>1</v>
      </c>
    </row>
    <row r="908" spans="1:5" x14ac:dyDescent="0.3">
      <c r="A908" s="2">
        <v>45510</v>
      </c>
      <c r="B908">
        <v>3</v>
      </c>
      <c r="C908">
        <v>8</v>
      </c>
      <c r="D908">
        <v>2024</v>
      </c>
      <c r="E908">
        <v>1</v>
      </c>
    </row>
    <row r="909" spans="1:5" x14ac:dyDescent="0.3">
      <c r="A909" s="2">
        <v>45510</v>
      </c>
      <c r="B909">
        <v>3</v>
      </c>
      <c r="C909">
        <v>8</v>
      </c>
      <c r="D909">
        <v>2024</v>
      </c>
      <c r="E909">
        <v>1</v>
      </c>
    </row>
    <row r="910" spans="1:5" x14ac:dyDescent="0.3">
      <c r="A910" s="2">
        <v>45511</v>
      </c>
      <c r="B910">
        <v>4</v>
      </c>
      <c r="C910">
        <v>8</v>
      </c>
      <c r="D910">
        <v>2024</v>
      </c>
      <c r="E910">
        <v>1</v>
      </c>
    </row>
    <row r="911" spans="1:5" x14ac:dyDescent="0.3">
      <c r="A911" s="2">
        <v>45511</v>
      </c>
      <c r="B911">
        <v>4</v>
      </c>
      <c r="C911">
        <v>8</v>
      </c>
      <c r="D911">
        <v>2024</v>
      </c>
      <c r="E911">
        <v>5</v>
      </c>
    </row>
    <row r="912" spans="1:5" x14ac:dyDescent="0.3">
      <c r="A912" s="2">
        <v>45511</v>
      </c>
      <c r="B912">
        <v>4</v>
      </c>
      <c r="C912">
        <v>8</v>
      </c>
      <c r="D912">
        <v>2024</v>
      </c>
      <c r="E912">
        <v>2</v>
      </c>
    </row>
    <row r="913" spans="1:5" x14ac:dyDescent="0.3">
      <c r="A913" s="2">
        <v>45512</v>
      </c>
      <c r="B913">
        <v>5</v>
      </c>
      <c r="C913">
        <v>8</v>
      </c>
      <c r="D913">
        <v>2024</v>
      </c>
      <c r="E913">
        <v>1</v>
      </c>
    </row>
    <row r="914" spans="1:5" x14ac:dyDescent="0.3">
      <c r="A914" s="2">
        <v>45512</v>
      </c>
      <c r="B914">
        <v>5</v>
      </c>
      <c r="C914">
        <v>8</v>
      </c>
      <c r="D914">
        <v>2024</v>
      </c>
      <c r="E914">
        <v>1</v>
      </c>
    </row>
    <row r="915" spans="1:5" x14ac:dyDescent="0.3">
      <c r="A915" s="2">
        <v>45513</v>
      </c>
      <c r="B915">
        <v>6</v>
      </c>
      <c r="C915">
        <v>8</v>
      </c>
      <c r="D915">
        <v>2024</v>
      </c>
      <c r="E915">
        <v>1</v>
      </c>
    </row>
    <row r="916" spans="1:5" x14ac:dyDescent="0.3">
      <c r="A916" s="2">
        <v>45513</v>
      </c>
      <c r="B916">
        <v>6</v>
      </c>
      <c r="C916">
        <v>8</v>
      </c>
      <c r="D916">
        <v>2024</v>
      </c>
      <c r="E916">
        <v>2</v>
      </c>
    </row>
    <row r="917" spans="1:5" x14ac:dyDescent="0.3">
      <c r="A917" s="2">
        <v>45514</v>
      </c>
      <c r="B917">
        <v>7</v>
      </c>
      <c r="C917">
        <v>8</v>
      </c>
      <c r="D917">
        <v>2024</v>
      </c>
      <c r="E917">
        <v>1</v>
      </c>
    </row>
    <row r="918" spans="1:5" x14ac:dyDescent="0.3">
      <c r="A918" s="2">
        <v>45514</v>
      </c>
      <c r="B918">
        <v>7</v>
      </c>
      <c r="C918">
        <v>8</v>
      </c>
      <c r="D918">
        <v>2024</v>
      </c>
      <c r="E918">
        <v>1</v>
      </c>
    </row>
    <row r="919" spans="1:5" x14ac:dyDescent="0.3">
      <c r="A919" s="2">
        <v>45515</v>
      </c>
      <c r="B919">
        <v>1</v>
      </c>
      <c r="C919">
        <v>8</v>
      </c>
      <c r="D919">
        <v>2024</v>
      </c>
      <c r="E919">
        <v>1</v>
      </c>
    </row>
    <row r="920" spans="1:5" x14ac:dyDescent="0.3">
      <c r="A920" s="2">
        <v>45515</v>
      </c>
      <c r="B920">
        <v>1</v>
      </c>
      <c r="C920">
        <v>8</v>
      </c>
      <c r="D920">
        <v>2024</v>
      </c>
      <c r="E920">
        <v>1</v>
      </c>
    </row>
    <row r="921" spans="1:5" x14ac:dyDescent="0.3">
      <c r="A921" s="2">
        <v>45516</v>
      </c>
      <c r="B921">
        <v>2</v>
      </c>
      <c r="C921">
        <v>8</v>
      </c>
      <c r="D921">
        <v>2024</v>
      </c>
      <c r="E921">
        <v>1</v>
      </c>
    </row>
    <row r="922" spans="1:5" x14ac:dyDescent="0.3">
      <c r="A922" s="2">
        <v>45517</v>
      </c>
      <c r="B922">
        <v>3</v>
      </c>
      <c r="C922">
        <v>8</v>
      </c>
      <c r="D922">
        <v>2024</v>
      </c>
      <c r="E922">
        <v>1</v>
      </c>
    </row>
    <row r="923" spans="1:5" x14ac:dyDescent="0.3">
      <c r="A923" s="2">
        <v>45518</v>
      </c>
      <c r="B923">
        <v>4</v>
      </c>
      <c r="C923">
        <v>8</v>
      </c>
      <c r="D923">
        <v>2024</v>
      </c>
      <c r="E923">
        <v>1</v>
      </c>
    </row>
    <row r="924" spans="1:5" x14ac:dyDescent="0.3">
      <c r="A924" s="2">
        <v>45519</v>
      </c>
      <c r="B924">
        <v>5</v>
      </c>
      <c r="C924">
        <v>8</v>
      </c>
      <c r="D924">
        <v>2024</v>
      </c>
      <c r="E924">
        <v>1</v>
      </c>
    </row>
    <row r="925" spans="1:5" x14ac:dyDescent="0.3">
      <c r="A925" s="2">
        <v>45520</v>
      </c>
      <c r="B925">
        <v>6</v>
      </c>
      <c r="C925">
        <v>8</v>
      </c>
      <c r="D925">
        <v>2024</v>
      </c>
      <c r="E925">
        <v>1</v>
      </c>
    </row>
    <row r="926" spans="1:5" x14ac:dyDescent="0.3">
      <c r="A926" s="2">
        <v>45521</v>
      </c>
      <c r="B926">
        <v>7</v>
      </c>
      <c r="C926">
        <v>8</v>
      </c>
      <c r="D926">
        <v>2024</v>
      </c>
      <c r="E926">
        <v>1</v>
      </c>
    </row>
    <row r="927" spans="1:5" x14ac:dyDescent="0.3">
      <c r="A927" s="2">
        <v>45525</v>
      </c>
      <c r="B927">
        <v>4</v>
      </c>
      <c r="C927">
        <v>8</v>
      </c>
      <c r="D927">
        <v>2024</v>
      </c>
      <c r="E927">
        <v>3</v>
      </c>
    </row>
    <row r="928" spans="1:5" x14ac:dyDescent="0.3">
      <c r="A928" s="2">
        <v>45525</v>
      </c>
      <c r="B928">
        <v>4</v>
      </c>
      <c r="C928">
        <v>8</v>
      </c>
      <c r="D928">
        <v>2024</v>
      </c>
      <c r="E928">
        <v>1</v>
      </c>
    </row>
    <row r="929" spans="1:5" x14ac:dyDescent="0.3">
      <c r="A929" s="2">
        <v>45525</v>
      </c>
      <c r="B929">
        <v>4</v>
      </c>
      <c r="C929">
        <v>8</v>
      </c>
      <c r="D929">
        <v>2024</v>
      </c>
      <c r="E929">
        <v>3</v>
      </c>
    </row>
    <row r="930" spans="1:5" x14ac:dyDescent="0.3">
      <c r="A930" s="2">
        <v>45526</v>
      </c>
      <c r="B930">
        <v>5</v>
      </c>
      <c r="C930">
        <v>8</v>
      </c>
      <c r="D930">
        <v>2024</v>
      </c>
      <c r="E930">
        <v>1</v>
      </c>
    </row>
    <row r="931" spans="1:5" x14ac:dyDescent="0.3">
      <c r="A931" s="2">
        <v>45526</v>
      </c>
      <c r="B931">
        <v>5</v>
      </c>
      <c r="C931">
        <v>8</v>
      </c>
      <c r="D931">
        <v>2024</v>
      </c>
      <c r="E931">
        <v>1</v>
      </c>
    </row>
    <row r="932" spans="1:5" x14ac:dyDescent="0.3">
      <c r="A932" s="2">
        <v>45526</v>
      </c>
      <c r="B932">
        <v>5</v>
      </c>
      <c r="C932">
        <v>8</v>
      </c>
      <c r="D932">
        <v>2024</v>
      </c>
      <c r="E932">
        <v>1</v>
      </c>
    </row>
    <row r="933" spans="1:5" x14ac:dyDescent="0.3">
      <c r="A933" s="2">
        <v>45526</v>
      </c>
      <c r="B933">
        <v>5</v>
      </c>
      <c r="C933">
        <v>8</v>
      </c>
      <c r="D933">
        <v>2024</v>
      </c>
      <c r="E933">
        <v>1</v>
      </c>
    </row>
    <row r="934" spans="1:5" x14ac:dyDescent="0.3">
      <c r="A934" s="2">
        <v>45526</v>
      </c>
      <c r="B934">
        <v>5</v>
      </c>
      <c r="C934">
        <v>8</v>
      </c>
      <c r="D934">
        <v>2024</v>
      </c>
      <c r="E934">
        <v>2</v>
      </c>
    </row>
    <row r="935" spans="1:5" x14ac:dyDescent="0.3">
      <c r="A935" s="2">
        <v>45526</v>
      </c>
      <c r="B935">
        <v>5</v>
      </c>
      <c r="C935">
        <v>8</v>
      </c>
      <c r="D935">
        <v>2024</v>
      </c>
      <c r="E935">
        <v>1</v>
      </c>
    </row>
    <row r="936" spans="1:5" x14ac:dyDescent="0.3">
      <c r="A936" s="2">
        <v>45526</v>
      </c>
      <c r="B936">
        <v>5</v>
      </c>
      <c r="C936">
        <v>8</v>
      </c>
      <c r="D936">
        <v>2024</v>
      </c>
      <c r="E936">
        <v>1</v>
      </c>
    </row>
    <row r="937" spans="1:5" x14ac:dyDescent="0.3">
      <c r="A937" s="2">
        <v>45526</v>
      </c>
      <c r="B937">
        <v>5</v>
      </c>
      <c r="C937">
        <v>8</v>
      </c>
      <c r="D937">
        <v>2024</v>
      </c>
      <c r="E937">
        <v>1</v>
      </c>
    </row>
    <row r="938" spans="1:5" x14ac:dyDescent="0.3">
      <c r="A938" s="2">
        <v>45526</v>
      </c>
      <c r="B938">
        <v>5</v>
      </c>
      <c r="C938">
        <v>8</v>
      </c>
      <c r="D938">
        <v>2024</v>
      </c>
      <c r="E938">
        <v>1</v>
      </c>
    </row>
    <row r="939" spans="1:5" x14ac:dyDescent="0.3">
      <c r="A939" s="2">
        <v>45526</v>
      </c>
      <c r="B939">
        <v>5</v>
      </c>
      <c r="C939">
        <v>8</v>
      </c>
      <c r="D939">
        <v>2024</v>
      </c>
      <c r="E939">
        <v>2</v>
      </c>
    </row>
    <row r="940" spans="1:5" x14ac:dyDescent="0.3">
      <c r="A940" s="2">
        <v>45527</v>
      </c>
      <c r="B940">
        <v>6</v>
      </c>
      <c r="C940">
        <v>8</v>
      </c>
      <c r="D940">
        <v>2024</v>
      </c>
      <c r="E940">
        <v>1</v>
      </c>
    </row>
    <row r="941" spans="1:5" x14ac:dyDescent="0.3">
      <c r="A941" s="2">
        <v>45527</v>
      </c>
      <c r="B941">
        <v>6</v>
      </c>
      <c r="C941">
        <v>8</v>
      </c>
      <c r="D941">
        <v>2024</v>
      </c>
      <c r="E941">
        <v>1</v>
      </c>
    </row>
    <row r="942" spans="1:5" x14ac:dyDescent="0.3">
      <c r="A942" s="2">
        <v>45527</v>
      </c>
      <c r="B942">
        <v>6</v>
      </c>
      <c r="C942">
        <v>8</v>
      </c>
      <c r="D942">
        <v>2024</v>
      </c>
      <c r="E942">
        <v>1</v>
      </c>
    </row>
    <row r="943" spans="1:5" x14ac:dyDescent="0.3">
      <c r="A943" s="2">
        <v>45527</v>
      </c>
      <c r="B943">
        <v>6</v>
      </c>
      <c r="C943">
        <v>8</v>
      </c>
      <c r="D943">
        <v>2024</v>
      </c>
      <c r="E943">
        <v>2</v>
      </c>
    </row>
    <row r="944" spans="1:5" x14ac:dyDescent="0.3">
      <c r="A944" s="2">
        <v>45527</v>
      </c>
      <c r="B944">
        <v>6</v>
      </c>
      <c r="C944">
        <v>8</v>
      </c>
      <c r="D944">
        <v>2024</v>
      </c>
      <c r="E944">
        <v>3</v>
      </c>
    </row>
    <row r="945" spans="1:5" x14ac:dyDescent="0.3">
      <c r="A945" s="2">
        <v>45527</v>
      </c>
      <c r="B945">
        <v>6</v>
      </c>
      <c r="C945">
        <v>8</v>
      </c>
      <c r="D945">
        <v>2024</v>
      </c>
      <c r="E945">
        <v>1</v>
      </c>
    </row>
    <row r="946" spans="1:5" x14ac:dyDescent="0.3">
      <c r="A946" s="2">
        <v>45527</v>
      </c>
      <c r="B946">
        <v>6</v>
      </c>
      <c r="C946">
        <v>8</v>
      </c>
      <c r="D946">
        <v>2024</v>
      </c>
      <c r="E946">
        <v>1</v>
      </c>
    </row>
    <row r="947" spans="1:5" x14ac:dyDescent="0.3">
      <c r="A947" s="2">
        <v>45527</v>
      </c>
      <c r="B947">
        <v>6</v>
      </c>
      <c r="C947">
        <v>8</v>
      </c>
      <c r="D947">
        <v>2024</v>
      </c>
      <c r="E947">
        <v>1</v>
      </c>
    </row>
    <row r="948" spans="1:5" x14ac:dyDescent="0.3">
      <c r="A948" s="2">
        <v>45527</v>
      </c>
      <c r="B948">
        <v>6</v>
      </c>
      <c r="C948">
        <v>8</v>
      </c>
      <c r="D948">
        <v>2024</v>
      </c>
      <c r="E948">
        <v>2</v>
      </c>
    </row>
    <row r="949" spans="1:5" x14ac:dyDescent="0.3">
      <c r="A949" s="2">
        <v>45527</v>
      </c>
      <c r="B949">
        <v>6</v>
      </c>
      <c r="C949">
        <v>8</v>
      </c>
      <c r="D949">
        <v>2024</v>
      </c>
      <c r="E949">
        <v>2</v>
      </c>
    </row>
    <row r="950" spans="1:5" x14ac:dyDescent="0.3">
      <c r="A950" s="2">
        <v>45527</v>
      </c>
      <c r="B950">
        <v>6</v>
      </c>
      <c r="C950">
        <v>8</v>
      </c>
      <c r="D950">
        <v>2024</v>
      </c>
      <c r="E950">
        <v>4</v>
      </c>
    </row>
    <row r="951" spans="1:5" x14ac:dyDescent="0.3">
      <c r="A951" s="2">
        <v>45527</v>
      </c>
      <c r="B951">
        <v>6</v>
      </c>
      <c r="C951">
        <v>8</v>
      </c>
      <c r="D951">
        <v>2024</v>
      </c>
      <c r="E951">
        <v>1</v>
      </c>
    </row>
    <row r="952" spans="1:5" x14ac:dyDescent="0.3">
      <c r="A952" s="2">
        <v>45527</v>
      </c>
      <c r="B952">
        <v>6</v>
      </c>
      <c r="C952">
        <v>8</v>
      </c>
      <c r="D952">
        <v>2024</v>
      </c>
      <c r="E952">
        <v>1</v>
      </c>
    </row>
    <row r="953" spans="1:5" x14ac:dyDescent="0.3">
      <c r="A953" s="2">
        <v>45528</v>
      </c>
      <c r="B953">
        <v>7</v>
      </c>
      <c r="C953">
        <v>8</v>
      </c>
      <c r="D953">
        <v>2024</v>
      </c>
      <c r="E953">
        <v>2</v>
      </c>
    </row>
    <row r="954" spans="1:5" x14ac:dyDescent="0.3">
      <c r="A954" s="2">
        <v>45528</v>
      </c>
      <c r="B954">
        <v>7</v>
      </c>
      <c r="C954">
        <v>8</v>
      </c>
      <c r="D954">
        <v>2024</v>
      </c>
      <c r="E954">
        <v>1</v>
      </c>
    </row>
    <row r="955" spans="1:5" x14ac:dyDescent="0.3">
      <c r="A955" s="2">
        <v>45528</v>
      </c>
      <c r="B955">
        <v>7</v>
      </c>
      <c r="C955">
        <v>8</v>
      </c>
      <c r="D955">
        <v>2024</v>
      </c>
      <c r="E955">
        <v>2</v>
      </c>
    </row>
    <row r="956" spans="1:5" x14ac:dyDescent="0.3">
      <c r="A956" s="2">
        <v>45528</v>
      </c>
      <c r="B956">
        <v>7</v>
      </c>
      <c r="C956">
        <v>8</v>
      </c>
      <c r="D956">
        <v>2024</v>
      </c>
      <c r="E956">
        <v>2</v>
      </c>
    </row>
    <row r="957" spans="1:5" x14ac:dyDescent="0.3">
      <c r="A957" s="2">
        <v>45528</v>
      </c>
      <c r="B957">
        <v>7</v>
      </c>
      <c r="C957">
        <v>8</v>
      </c>
      <c r="D957">
        <v>2024</v>
      </c>
      <c r="E957">
        <v>1</v>
      </c>
    </row>
    <row r="958" spans="1:5" x14ac:dyDescent="0.3">
      <c r="A958" s="2">
        <v>45528</v>
      </c>
      <c r="B958">
        <v>7</v>
      </c>
      <c r="C958">
        <v>8</v>
      </c>
      <c r="D958">
        <v>2024</v>
      </c>
      <c r="E958">
        <v>1</v>
      </c>
    </row>
    <row r="959" spans="1:5" x14ac:dyDescent="0.3">
      <c r="A959" s="2">
        <v>45528</v>
      </c>
      <c r="B959">
        <v>7</v>
      </c>
      <c r="C959">
        <v>8</v>
      </c>
      <c r="D959">
        <v>2024</v>
      </c>
      <c r="E959">
        <v>1</v>
      </c>
    </row>
    <row r="960" spans="1:5" x14ac:dyDescent="0.3">
      <c r="A960" s="2">
        <v>45528</v>
      </c>
      <c r="B960">
        <v>7</v>
      </c>
      <c r="C960">
        <v>8</v>
      </c>
      <c r="D960">
        <v>2024</v>
      </c>
      <c r="E960">
        <v>1</v>
      </c>
    </row>
    <row r="961" spans="1:5" x14ac:dyDescent="0.3">
      <c r="A961" s="2">
        <v>45528</v>
      </c>
      <c r="B961">
        <v>7</v>
      </c>
      <c r="C961">
        <v>8</v>
      </c>
      <c r="D961">
        <v>2024</v>
      </c>
      <c r="E961">
        <v>1</v>
      </c>
    </row>
    <row r="962" spans="1:5" x14ac:dyDescent="0.3">
      <c r="A962" s="2">
        <v>45528</v>
      </c>
      <c r="B962">
        <v>7</v>
      </c>
      <c r="C962">
        <v>8</v>
      </c>
      <c r="D962">
        <v>2024</v>
      </c>
      <c r="E962">
        <v>1</v>
      </c>
    </row>
    <row r="963" spans="1:5" x14ac:dyDescent="0.3">
      <c r="A963" s="2">
        <v>45528</v>
      </c>
      <c r="B963">
        <v>7</v>
      </c>
      <c r="C963">
        <v>8</v>
      </c>
      <c r="D963">
        <v>2024</v>
      </c>
      <c r="E963">
        <v>1</v>
      </c>
    </row>
    <row r="964" spans="1:5" x14ac:dyDescent="0.3">
      <c r="A964" s="2">
        <v>45528</v>
      </c>
      <c r="B964">
        <v>7</v>
      </c>
      <c r="C964">
        <v>8</v>
      </c>
      <c r="D964">
        <v>2024</v>
      </c>
      <c r="E964">
        <v>1</v>
      </c>
    </row>
    <row r="965" spans="1:5" x14ac:dyDescent="0.3">
      <c r="A965" s="2">
        <v>45529</v>
      </c>
      <c r="B965">
        <v>1</v>
      </c>
      <c r="C965">
        <v>8</v>
      </c>
      <c r="D965">
        <v>2024</v>
      </c>
      <c r="E965">
        <v>1</v>
      </c>
    </row>
    <row r="966" spans="1:5" x14ac:dyDescent="0.3">
      <c r="A966" s="2">
        <v>45529</v>
      </c>
      <c r="B966">
        <v>1</v>
      </c>
      <c r="C966">
        <v>8</v>
      </c>
      <c r="D966">
        <v>2024</v>
      </c>
      <c r="E966">
        <v>1</v>
      </c>
    </row>
    <row r="967" spans="1:5" x14ac:dyDescent="0.3">
      <c r="A967" s="2">
        <v>45529</v>
      </c>
      <c r="B967">
        <v>1</v>
      </c>
      <c r="C967">
        <v>8</v>
      </c>
      <c r="D967">
        <v>2024</v>
      </c>
      <c r="E967">
        <v>1</v>
      </c>
    </row>
    <row r="968" spans="1:5" x14ac:dyDescent="0.3">
      <c r="A968" s="2">
        <v>45529</v>
      </c>
      <c r="B968">
        <v>1</v>
      </c>
      <c r="C968">
        <v>8</v>
      </c>
      <c r="D968">
        <v>2024</v>
      </c>
      <c r="E968">
        <v>1</v>
      </c>
    </row>
    <row r="969" spans="1:5" x14ac:dyDescent="0.3">
      <c r="A969" s="2">
        <v>45529</v>
      </c>
      <c r="B969">
        <v>1</v>
      </c>
      <c r="C969">
        <v>8</v>
      </c>
      <c r="D969">
        <v>2024</v>
      </c>
      <c r="E969">
        <v>2</v>
      </c>
    </row>
    <row r="970" spans="1:5" x14ac:dyDescent="0.3">
      <c r="A970" s="2">
        <v>45529</v>
      </c>
      <c r="B970">
        <v>1</v>
      </c>
      <c r="C970">
        <v>8</v>
      </c>
      <c r="D970">
        <v>2024</v>
      </c>
      <c r="E970">
        <v>2</v>
      </c>
    </row>
    <row r="971" spans="1:5" x14ac:dyDescent="0.3">
      <c r="A971" s="2">
        <v>45529</v>
      </c>
      <c r="B971">
        <v>1</v>
      </c>
      <c r="C971">
        <v>8</v>
      </c>
      <c r="D971">
        <v>2024</v>
      </c>
      <c r="E971">
        <v>1</v>
      </c>
    </row>
    <row r="972" spans="1:5" x14ac:dyDescent="0.3">
      <c r="A972" s="2">
        <v>45529</v>
      </c>
      <c r="B972">
        <v>1</v>
      </c>
      <c r="C972">
        <v>8</v>
      </c>
      <c r="D972">
        <v>2024</v>
      </c>
      <c r="E972">
        <v>1</v>
      </c>
    </row>
    <row r="973" spans="1:5" x14ac:dyDescent="0.3">
      <c r="A973" s="2">
        <v>45530</v>
      </c>
      <c r="B973">
        <v>2</v>
      </c>
      <c r="C973">
        <v>8</v>
      </c>
      <c r="D973">
        <v>2024</v>
      </c>
      <c r="E973">
        <v>1</v>
      </c>
    </row>
    <row r="974" spans="1:5" x14ac:dyDescent="0.3">
      <c r="A974" s="2">
        <v>45530</v>
      </c>
      <c r="B974">
        <v>2</v>
      </c>
      <c r="C974">
        <v>8</v>
      </c>
      <c r="D974">
        <v>2024</v>
      </c>
      <c r="E974">
        <v>1</v>
      </c>
    </row>
    <row r="975" spans="1:5" x14ac:dyDescent="0.3">
      <c r="A975" s="2">
        <v>45530</v>
      </c>
      <c r="B975">
        <v>2</v>
      </c>
      <c r="C975">
        <v>8</v>
      </c>
      <c r="D975">
        <v>2024</v>
      </c>
      <c r="E975">
        <v>1</v>
      </c>
    </row>
    <row r="976" spans="1:5" x14ac:dyDescent="0.3">
      <c r="A976" s="2">
        <v>45530</v>
      </c>
      <c r="B976">
        <v>2</v>
      </c>
      <c r="C976">
        <v>8</v>
      </c>
      <c r="D976">
        <v>2024</v>
      </c>
      <c r="E976">
        <v>2</v>
      </c>
    </row>
    <row r="977" spans="1:5" x14ac:dyDescent="0.3">
      <c r="A977" s="2">
        <v>45530</v>
      </c>
      <c r="B977">
        <v>2</v>
      </c>
      <c r="C977">
        <v>8</v>
      </c>
      <c r="D977">
        <v>2024</v>
      </c>
      <c r="E977">
        <v>3</v>
      </c>
    </row>
    <row r="978" spans="1:5" x14ac:dyDescent="0.3">
      <c r="A978" s="2">
        <v>45530</v>
      </c>
      <c r="B978">
        <v>2</v>
      </c>
      <c r="C978">
        <v>8</v>
      </c>
      <c r="D978">
        <v>2024</v>
      </c>
      <c r="E978">
        <v>1</v>
      </c>
    </row>
    <row r="979" spans="1:5" x14ac:dyDescent="0.3">
      <c r="A979" s="2">
        <v>45531</v>
      </c>
      <c r="B979">
        <v>3</v>
      </c>
      <c r="C979">
        <v>8</v>
      </c>
      <c r="D979">
        <v>2024</v>
      </c>
      <c r="E979">
        <v>1</v>
      </c>
    </row>
    <row r="980" spans="1:5" x14ac:dyDescent="0.3">
      <c r="A980" s="2">
        <v>45531</v>
      </c>
      <c r="B980">
        <v>3</v>
      </c>
      <c r="C980">
        <v>8</v>
      </c>
      <c r="D980">
        <v>2024</v>
      </c>
      <c r="E980">
        <v>1</v>
      </c>
    </row>
    <row r="981" spans="1:5" x14ac:dyDescent="0.3">
      <c r="A981" s="2">
        <v>45531</v>
      </c>
      <c r="B981">
        <v>3</v>
      </c>
      <c r="C981">
        <v>8</v>
      </c>
      <c r="D981">
        <v>2024</v>
      </c>
      <c r="E981">
        <v>1</v>
      </c>
    </row>
    <row r="982" spans="1:5" x14ac:dyDescent="0.3">
      <c r="A982" s="2">
        <v>45531</v>
      </c>
      <c r="B982">
        <v>3</v>
      </c>
      <c r="C982">
        <v>8</v>
      </c>
      <c r="D982">
        <v>2024</v>
      </c>
      <c r="E982">
        <v>1</v>
      </c>
    </row>
    <row r="983" spans="1:5" x14ac:dyDescent="0.3">
      <c r="A983" s="2">
        <v>45531</v>
      </c>
      <c r="B983">
        <v>3</v>
      </c>
      <c r="C983">
        <v>8</v>
      </c>
      <c r="D983">
        <v>2024</v>
      </c>
      <c r="E983">
        <v>1</v>
      </c>
    </row>
    <row r="984" spans="1:5" x14ac:dyDescent="0.3">
      <c r="A984" s="2">
        <v>45531</v>
      </c>
      <c r="B984">
        <v>3</v>
      </c>
      <c r="C984">
        <v>8</v>
      </c>
      <c r="D984">
        <v>2024</v>
      </c>
      <c r="E984">
        <v>2</v>
      </c>
    </row>
    <row r="985" spans="1:5" x14ac:dyDescent="0.3">
      <c r="A985" s="2">
        <v>45531</v>
      </c>
      <c r="B985">
        <v>3</v>
      </c>
      <c r="C985">
        <v>8</v>
      </c>
      <c r="D985">
        <v>2024</v>
      </c>
      <c r="E985">
        <v>2</v>
      </c>
    </row>
    <row r="986" spans="1:5" x14ac:dyDescent="0.3">
      <c r="A986" s="2">
        <v>45531</v>
      </c>
      <c r="B986">
        <v>3</v>
      </c>
      <c r="C986">
        <v>8</v>
      </c>
      <c r="D986">
        <v>2024</v>
      </c>
      <c r="E986">
        <v>1</v>
      </c>
    </row>
    <row r="987" spans="1:5" x14ac:dyDescent="0.3">
      <c r="A987" s="2">
        <v>45531</v>
      </c>
      <c r="B987">
        <v>3</v>
      </c>
      <c r="C987">
        <v>8</v>
      </c>
      <c r="D987">
        <v>2024</v>
      </c>
      <c r="E987">
        <v>3</v>
      </c>
    </row>
    <row r="988" spans="1:5" x14ac:dyDescent="0.3">
      <c r="A988" s="2">
        <v>45532</v>
      </c>
      <c r="B988">
        <v>4</v>
      </c>
      <c r="C988">
        <v>8</v>
      </c>
      <c r="D988">
        <v>2024</v>
      </c>
      <c r="E988">
        <v>1</v>
      </c>
    </row>
    <row r="989" spans="1:5" x14ac:dyDescent="0.3">
      <c r="A989" s="2">
        <v>45532</v>
      </c>
      <c r="B989">
        <v>4</v>
      </c>
      <c r="C989">
        <v>8</v>
      </c>
      <c r="D989">
        <v>2024</v>
      </c>
      <c r="E989">
        <v>1</v>
      </c>
    </row>
    <row r="990" spans="1:5" x14ac:dyDescent="0.3">
      <c r="A990" s="2">
        <v>45532</v>
      </c>
      <c r="B990">
        <v>4</v>
      </c>
      <c r="C990">
        <v>8</v>
      </c>
      <c r="D990">
        <v>2024</v>
      </c>
      <c r="E990">
        <v>1</v>
      </c>
    </row>
    <row r="991" spans="1:5" x14ac:dyDescent="0.3">
      <c r="A991" s="2">
        <v>45532</v>
      </c>
      <c r="B991">
        <v>4</v>
      </c>
      <c r="C991">
        <v>8</v>
      </c>
      <c r="D991">
        <v>2024</v>
      </c>
      <c r="E991">
        <v>2</v>
      </c>
    </row>
    <row r="992" spans="1:5" x14ac:dyDescent="0.3">
      <c r="A992" s="2">
        <v>45532</v>
      </c>
      <c r="B992">
        <v>4</v>
      </c>
      <c r="C992">
        <v>8</v>
      </c>
      <c r="D992">
        <v>2024</v>
      </c>
      <c r="E992">
        <v>1</v>
      </c>
    </row>
    <row r="993" spans="1:5" x14ac:dyDescent="0.3">
      <c r="A993" s="2">
        <v>45532</v>
      </c>
      <c r="B993">
        <v>4</v>
      </c>
      <c r="C993">
        <v>8</v>
      </c>
      <c r="D993">
        <v>2024</v>
      </c>
      <c r="E993">
        <v>2</v>
      </c>
    </row>
    <row r="994" spans="1:5" x14ac:dyDescent="0.3">
      <c r="A994" s="2">
        <v>45532</v>
      </c>
      <c r="B994">
        <v>4</v>
      </c>
      <c r="C994">
        <v>8</v>
      </c>
      <c r="D994">
        <v>2024</v>
      </c>
      <c r="E994">
        <v>1</v>
      </c>
    </row>
    <row r="995" spans="1:5" x14ac:dyDescent="0.3">
      <c r="A995" s="2">
        <v>45532</v>
      </c>
      <c r="B995">
        <v>4</v>
      </c>
      <c r="C995">
        <v>8</v>
      </c>
      <c r="D995">
        <v>2024</v>
      </c>
      <c r="E995">
        <v>1</v>
      </c>
    </row>
    <row r="996" spans="1:5" x14ac:dyDescent="0.3">
      <c r="A996" s="2">
        <v>45532</v>
      </c>
      <c r="B996">
        <v>4</v>
      </c>
      <c r="C996">
        <v>8</v>
      </c>
      <c r="D996">
        <v>2024</v>
      </c>
      <c r="E996">
        <v>2</v>
      </c>
    </row>
    <row r="997" spans="1:5" x14ac:dyDescent="0.3">
      <c r="A997" s="2">
        <v>45532</v>
      </c>
      <c r="B997">
        <v>4</v>
      </c>
      <c r="C997">
        <v>8</v>
      </c>
      <c r="D997">
        <v>2024</v>
      </c>
      <c r="E997">
        <v>1</v>
      </c>
    </row>
    <row r="998" spans="1:5" x14ac:dyDescent="0.3">
      <c r="A998" s="2">
        <v>45532</v>
      </c>
      <c r="B998">
        <v>4</v>
      </c>
      <c r="C998">
        <v>8</v>
      </c>
      <c r="D998">
        <v>2024</v>
      </c>
      <c r="E998">
        <v>1</v>
      </c>
    </row>
    <row r="999" spans="1:5" x14ac:dyDescent="0.3">
      <c r="A999" s="2">
        <v>45532</v>
      </c>
      <c r="B999">
        <v>4</v>
      </c>
      <c r="C999">
        <v>8</v>
      </c>
      <c r="D999">
        <v>2024</v>
      </c>
      <c r="E999">
        <v>1</v>
      </c>
    </row>
    <row r="1000" spans="1:5" x14ac:dyDescent="0.3">
      <c r="A1000" s="2">
        <v>45533</v>
      </c>
      <c r="B1000">
        <v>5</v>
      </c>
      <c r="C1000">
        <v>8</v>
      </c>
      <c r="D1000">
        <v>2024</v>
      </c>
      <c r="E1000">
        <v>2</v>
      </c>
    </row>
    <row r="1001" spans="1:5" x14ac:dyDescent="0.3">
      <c r="A1001" s="2">
        <v>45533</v>
      </c>
      <c r="B1001">
        <v>5</v>
      </c>
      <c r="C1001">
        <v>8</v>
      </c>
      <c r="D1001">
        <v>2024</v>
      </c>
      <c r="E1001">
        <v>1</v>
      </c>
    </row>
    <row r="1002" spans="1:5" x14ac:dyDescent="0.3">
      <c r="A1002" s="2">
        <v>45533</v>
      </c>
      <c r="B1002">
        <v>5</v>
      </c>
      <c r="C1002">
        <v>8</v>
      </c>
      <c r="D1002">
        <v>2024</v>
      </c>
      <c r="E1002">
        <v>1</v>
      </c>
    </row>
    <row r="1003" spans="1:5" x14ac:dyDescent="0.3">
      <c r="A1003" s="2">
        <v>45533</v>
      </c>
      <c r="B1003">
        <v>5</v>
      </c>
      <c r="C1003">
        <v>8</v>
      </c>
      <c r="D1003">
        <v>2024</v>
      </c>
      <c r="E1003">
        <v>1</v>
      </c>
    </row>
    <row r="1004" spans="1:5" x14ac:dyDescent="0.3">
      <c r="A1004" s="2">
        <v>45533</v>
      </c>
      <c r="B1004">
        <v>5</v>
      </c>
      <c r="C1004">
        <v>8</v>
      </c>
      <c r="D1004">
        <v>2024</v>
      </c>
      <c r="E1004">
        <v>2</v>
      </c>
    </row>
    <row r="1005" spans="1:5" x14ac:dyDescent="0.3">
      <c r="A1005" s="2">
        <v>45533</v>
      </c>
      <c r="B1005">
        <v>5</v>
      </c>
      <c r="C1005">
        <v>8</v>
      </c>
      <c r="D1005">
        <v>2024</v>
      </c>
      <c r="E1005">
        <v>1</v>
      </c>
    </row>
    <row r="1006" spans="1:5" x14ac:dyDescent="0.3">
      <c r="A1006" s="2">
        <v>45533</v>
      </c>
      <c r="B1006">
        <v>5</v>
      </c>
      <c r="C1006">
        <v>8</v>
      </c>
      <c r="D1006">
        <v>2024</v>
      </c>
      <c r="E1006">
        <v>1</v>
      </c>
    </row>
    <row r="1007" spans="1:5" x14ac:dyDescent="0.3">
      <c r="A1007" s="2">
        <v>45533</v>
      </c>
      <c r="B1007">
        <v>5</v>
      </c>
      <c r="C1007">
        <v>8</v>
      </c>
      <c r="D1007">
        <v>2024</v>
      </c>
      <c r="E1007">
        <v>1</v>
      </c>
    </row>
    <row r="1008" spans="1:5" x14ac:dyDescent="0.3">
      <c r="A1008" s="2">
        <v>45533</v>
      </c>
      <c r="B1008">
        <v>5</v>
      </c>
      <c r="C1008">
        <v>8</v>
      </c>
      <c r="D1008">
        <v>2024</v>
      </c>
      <c r="E1008">
        <v>1</v>
      </c>
    </row>
    <row r="1009" spans="1:5" x14ac:dyDescent="0.3">
      <c r="A1009" s="2">
        <v>45533</v>
      </c>
      <c r="B1009">
        <v>5</v>
      </c>
      <c r="C1009">
        <v>8</v>
      </c>
      <c r="D1009">
        <v>2024</v>
      </c>
      <c r="E1009">
        <v>1</v>
      </c>
    </row>
    <row r="1010" spans="1:5" x14ac:dyDescent="0.3">
      <c r="A1010" s="2">
        <v>45533</v>
      </c>
      <c r="B1010">
        <v>5</v>
      </c>
      <c r="C1010">
        <v>8</v>
      </c>
      <c r="D1010">
        <v>2024</v>
      </c>
      <c r="E1010">
        <v>1</v>
      </c>
    </row>
    <row r="1011" spans="1:5" x14ac:dyDescent="0.3">
      <c r="A1011" s="2">
        <v>45534</v>
      </c>
      <c r="B1011">
        <v>6</v>
      </c>
      <c r="C1011">
        <v>8</v>
      </c>
      <c r="D1011">
        <v>2024</v>
      </c>
      <c r="E1011">
        <v>1</v>
      </c>
    </row>
    <row r="1012" spans="1:5" x14ac:dyDescent="0.3">
      <c r="A1012" s="2">
        <v>45534</v>
      </c>
      <c r="B1012">
        <v>6</v>
      </c>
      <c r="C1012">
        <v>8</v>
      </c>
      <c r="D1012">
        <v>2024</v>
      </c>
      <c r="E1012">
        <v>1</v>
      </c>
    </row>
    <row r="1013" spans="1:5" x14ac:dyDescent="0.3">
      <c r="A1013" s="2">
        <v>45534</v>
      </c>
      <c r="B1013">
        <v>6</v>
      </c>
      <c r="C1013">
        <v>8</v>
      </c>
      <c r="D1013">
        <v>2024</v>
      </c>
      <c r="E1013">
        <v>1</v>
      </c>
    </row>
    <row r="1014" spans="1:5" x14ac:dyDescent="0.3">
      <c r="A1014" s="2">
        <v>45534</v>
      </c>
      <c r="B1014">
        <v>6</v>
      </c>
      <c r="C1014">
        <v>8</v>
      </c>
      <c r="D1014">
        <v>2024</v>
      </c>
      <c r="E1014">
        <v>1</v>
      </c>
    </row>
    <row r="1015" spans="1:5" x14ac:dyDescent="0.3">
      <c r="A1015" s="2">
        <v>45534</v>
      </c>
      <c r="B1015">
        <v>6</v>
      </c>
      <c r="C1015">
        <v>8</v>
      </c>
      <c r="D1015">
        <v>2024</v>
      </c>
      <c r="E1015">
        <v>1</v>
      </c>
    </row>
    <row r="1016" spans="1:5" x14ac:dyDescent="0.3">
      <c r="A1016" s="2">
        <v>45534</v>
      </c>
      <c r="B1016">
        <v>6</v>
      </c>
      <c r="C1016">
        <v>8</v>
      </c>
      <c r="D1016">
        <v>2024</v>
      </c>
      <c r="E1016">
        <v>1</v>
      </c>
    </row>
    <row r="1017" spans="1:5" x14ac:dyDescent="0.3">
      <c r="A1017" s="2">
        <v>45534</v>
      </c>
      <c r="B1017">
        <v>6</v>
      </c>
      <c r="C1017">
        <v>8</v>
      </c>
      <c r="D1017">
        <v>2024</v>
      </c>
      <c r="E1017">
        <v>1</v>
      </c>
    </row>
    <row r="1018" spans="1:5" x14ac:dyDescent="0.3">
      <c r="A1018" s="2">
        <v>45534</v>
      </c>
      <c r="B1018">
        <v>6</v>
      </c>
      <c r="C1018">
        <v>8</v>
      </c>
      <c r="D1018">
        <v>2024</v>
      </c>
      <c r="E1018">
        <v>3</v>
      </c>
    </row>
    <row r="1019" spans="1:5" x14ac:dyDescent="0.3">
      <c r="A1019" s="2">
        <v>45534</v>
      </c>
      <c r="B1019">
        <v>6</v>
      </c>
      <c r="C1019">
        <v>8</v>
      </c>
      <c r="D1019">
        <v>2024</v>
      </c>
      <c r="E1019">
        <v>1</v>
      </c>
    </row>
    <row r="1020" spans="1:5" x14ac:dyDescent="0.3">
      <c r="A1020" s="2">
        <v>45534</v>
      </c>
      <c r="B1020">
        <v>6</v>
      </c>
      <c r="C1020">
        <v>8</v>
      </c>
      <c r="D1020">
        <v>2024</v>
      </c>
      <c r="E1020">
        <v>2</v>
      </c>
    </row>
    <row r="1021" spans="1:5" x14ac:dyDescent="0.3">
      <c r="A1021" s="2">
        <v>45534</v>
      </c>
      <c r="B1021">
        <v>6</v>
      </c>
      <c r="C1021">
        <v>8</v>
      </c>
      <c r="D1021">
        <v>2024</v>
      </c>
      <c r="E1021">
        <v>1</v>
      </c>
    </row>
    <row r="1022" spans="1:5" x14ac:dyDescent="0.3">
      <c r="A1022" s="2">
        <v>45534</v>
      </c>
      <c r="B1022">
        <v>6</v>
      </c>
      <c r="C1022">
        <v>8</v>
      </c>
      <c r="D1022">
        <v>2024</v>
      </c>
      <c r="E1022">
        <v>1</v>
      </c>
    </row>
    <row r="1023" spans="1:5" x14ac:dyDescent="0.3">
      <c r="A1023" s="2">
        <v>45534</v>
      </c>
      <c r="B1023">
        <v>6</v>
      </c>
      <c r="C1023">
        <v>8</v>
      </c>
      <c r="D1023">
        <v>2024</v>
      </c>
      <c r="E1023">
        <v>1</v>
      </c>
    </row>
    <row r="1024" spans="1:5" x14ac:dyDescent="0.3">
      <c r="A1024" s="2">
        <v>45534</v>
      </c>
      <c r="B1024">
        <v>6</v>
      </c>
      <c r="C1024">
        <v>8</v>
      </c>
      <c r="D1024">
        <v>2024</v>
      </c>
      <c r="E1024">
        <v>1</v>
      </c>
    </row>
    <row r="1025" spans="1:5" x14ac:dyDescent="0.3">
      <c r="A1025" s="2">
        <v>45535</v>
      </c>
      <c r="B1025">
        <v>7</v>
      </c>
      <c r="C1025">
        <v>8</v>
      </c>
      <c r="D1025">
        <v>2024</v>
      </c>
      <c r="E1025">
        <v>1</v>
      </c>
    </row>
    <row r="1026" spans="1:5" x14ac:dyDescent="0.3">
      <c r="A1026" s="2">
        <v>45535</v>
      </c>
      <c r="B1026">
        <v>7</v>
      </c>
      <c r="C1026">
        <v>8</v>
      </c>
      <c r="D1026">
        <v>2024</v>
      </c>
      <c r="E1026">
        <v>1</v>
      </c>
    </row>
    <row r="1027" spans="1:5" x14ac:dyDescent="0.3">
      <c r="A1027" s="2">
        <v>45535</v>
      </c>
      <c r="B1027">
        <v>7</v>
      </c>
      <c r="C1027">
        <v>8</v>
      </c>
      <c r="D1027">
        <v>2024</v>
      </c>
      <c r="E1027">
        <v>1</v>
      </c>
    </row>
    <row r="1028" spans="1:5" x14ac:dyDescent="0.3">
      <c r="A1028" s="2">
        <v>45535</v>
      </c>
      <c r="B1028">
        <v>7</v>
      </c>
      <c r="C1028">
        <v>8</v>
      </c>
      <c r="D1028">
        <v>2024</v>
      </c>
      <c r="E1028">
        <v>1</v>
      </c>
    </row>
    <row r="1029" spans="1:5" x14ac:dyDescent="0.3">
      <c r="A1029" s="2">
        <v>45535</v>
      </c>
      <c r="B1029">
        <v>7</v>
      </c>
      <c r="C1029">
        <v>8</v>
      </c>
      <c r="D1029">
        <v>2024</v>
      </c>
      <c r="E1029">
        <v>2</v>
      </c>
    </row>
    <row r="1030" spans="1:5" x14ac:dyDescent="0.3">
      <c r="A1030" s="2">
        <v>45535</v>
      </c>
      <c r="B1030">
        <v>7</v>
      </c>
      <c r="C1030">
        <v>8</v>
      </c>
      <c r="D1030">
        <v>2024</v>
      </c>
      <c r="E1030">
        <v>2</v>
      </c>
    </row>
    <row r="1031" spans="1:5" x14ac:dyDescent="0.3">
      <c r="A1031" s="2">
        <v>45535</v>
      </c>
      <c r="B1031">
        <v>7</v>
      </c>
      <c r="C1031">
        <v>8</v>
      </c>
      <c r="D1031">
        <v>2024</v>
      </c>
      <c r="E1031">
        <v>1</v>
      </c>
    </row>
    <row r="1032" spans="1:5" x14ac:dyDescent="0.3">
      <c r="A1032" s="2">
        <v>45535</v>
      </c>
      <c r="B1032">
        <v>7</v>
      </c>
      <c r="C1032">
        <v>8</v>
      </c>
      <c r="D1032">
        <v>2024</v>
      </c>
      <c r="E1032">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432E-A51A-468A-A3E7-6199BEE7AF70}">
  <dimension ref="D20:E21"/>
  <sheetViews>
    <sheetView workbookViewId="0"/>
  </sheetViews>
  <sheetFormatPr baseColWidth="10" defaultRowHeight="14.4" x14ac:dyDescent="0.3"/>
  <cols>
    <col min="3" max="4" width="11.44140625" customWidth="1"/>
  </cols>
  <sheetData>
    <row r="20" spans="4:5" x14ac:dyDescent="0.3">
      <c r="D20" s="5"/>
      <c r="E20" s="5"/>
    </row>
    <row r="21" spans="4:5" x14ac:dyDescent="0.3">
      <c r="E21" s="5"/>
    </row>
  </sheetData>
  <printOptions horizontalCentered="1" verticalCentered="1"/>
  <pageMargins left="3.937007874015748E-2" right="7.874015748031496E-2" top="0.27559055118110237" bottom="0.27559055118110237" header="0.31496062992125984" footer="0.31496062992125984"/>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8F28-1F39-4CD9-9029-C99FE7929154}">
  <dimension ref="A1:AY765"/>
  <sheetViews>
    <sheetView topLeftCell="J119" zoomScale="94" zoomScaleNormal="115" workbookViewId="0">
      <selection activeCell="L138" sqref="L138:N143"/>
    </sheetView>
  </sheetViews>
  <sheetFormatPr baseColWidth="10" defaultRowHeight="14.4" x14ac:dyDescent="0.3"/>
  <cols>
    <col min="9" max="9" width="20.77734375" bestFit="1" customWidth="1"/>
    <col min="10" max="10" width="25.6640625" bestFit="1" customWidth="1"/>
    <col min="12" max="12" width="20.109375" bestFit="1" customWidth="1"/>
    <col min="13" max="13" width="31.21875" bestFit="1" customWidth="1"/>
    <col min="14" max="15" width="32.33203125" bestFit="1" customWidth="1"/>
    <col min="18" max="18" width="19.44140625" bestFit="1" customWidth="1"/>
    <col min="19" max="19" width="27.109375" bestFit="1" customWidth="1"/>
    <col min="20" max="20" width="31.88671875" bestFit="1" customWidth="1"/>
    <col min="21" max="21" width="38.5546875" bestFit="1" customWidth="1"/>
  </cols>
  <sheetData>
    <row r="1" spans="1:21" x14ac:dyDescent="0.3">
      <c r="A1" t="s">
        <v>17</v>
      </c>
      <c r="B1" t="s">
        <v>18</v>
      </c>
      <c r="C1" t="s">
        <v>0</v>
      </c>
      <c r="D1" t="s">
        <v>19</v>
      </c>
      <c r="E1" t="s">
        <v>20</v>
      </c>
      <c r="F1" t="s">
        <v>18</v>
      </c>
      <c r="H1" t="s">
        <v>185</v>
      </c>
      <c r="I1" t="s">
        <v>184</v>
      </c>
      <c r="J1" t="s">
        <v>183</v>
      </c>
    </row>
    <row r="2" spans="1:21" x14ac:dyDescent="0.3">
      <c r="A2">
        <v>3</v>
      </c>
      <c r="B2" t="s">
        <v>21</v>
      </c>
      <c r="C2">
        <v>583</v>
      </c>
      <c r="D2" s="1">
        <v>22.2</v>
      </c>
      <c r="E2" s="1">
        <v>290.60000000000002</v>
      </c>
      <c r="F2" t="s">
        <v>21</v>
      </c>
      <c r="H2" s="25">
        <f>VLOOKUP(I2,A$2:E$765,5,FALSE)</f>
        <v>290.60000000000002</v>
      </c>
      <c r="I2">
        <v>3</v>
      </c>
      <c r="J2" t="str">
        <f>VLOOKUP(I2,A1:B765,2,FALSE)</f>
        <v>DURAND</v>
      </c>
    </row>
    <row r="3" spans="1:21" x14ac:dyDescent="0.3">
      <c r="A3">
        <v>3</v>
      </c>
      <c r="B3" t="s">
        <v>21</v>
      </c>
      <c r="C3">
        <v>594</v>
      </c>
      <c r="D3" s="1">
        <v>8</v>
      </c>
      <c r="E3" s="1">
        <v>290.60000000000002</v>
      </c>
      <c r="F3" t="s">
        <v>21</v>
      </c>
      <c r="H3" s="25">
        <f>VLOOKUP(I3,A$2:E$765,5,FALSE)</f>
        <v>174.8</v>
      </c>
      <c r="I3">
        <v>4</v>
      </c>
      <c r="J3" t="str">
        <f>VLOOKUP(I3,A2:B766,2,FALSE)</f>
        <v>MANIN</v>
      </c>
      <c r="L3" t="s">
        <v>182</v>
      </c>
      <c r="M3" s="1">
        <f>AVERAGE(H2:H125)</f>
        <v>68.277419354838699</v>
      </c>
      <c r="N3" t="s">
        <v>181</v>
      </c>
      <c r="O3" s="1">
        <f>AVERAGE(D2:D765)</f>
        <v>11.081675392670164</v>
      </c>
    </row>
    <row r="4" spans="1:21" x14ac:dyDescent="0.3">
      <c r="A4">
        <v>3</v>
      </c>
      <c r="B4" t="s">
        <v>21</v>
      </c>
      <c r="C4">
        <v>625</v>
      </c>
      <c r="D4" s="1">
        <v>7.4</v>
      </c>
      <c r="E4" s="1">
        <v>290.60000000000002</v>
      </c>
      <c r="F4" t="s">
        <v>21</v>
      </c>
      <c r="H4" s="25">
        <f>VLOOKUP(I4,A$2:E$765,5,FALSE)</f>
        <v>156.80000000000001</v>
      </c>
      <c r="I4">
        <v>5</v>
      </c>
      <c r="J4" t="str">
        <f>VLOOKUP(I4,A3:B767,2,FALSE)</f>
        <v>DUPOND</v>
      </c>
      <c r="L4" t="s">
        <v>180</v>
      </c>
      <c r="M4" s="1">
        <f>MEDIAN(H2:H125)</f>
        <v>55.4</v>
      </c>
      <c r="N4" t="s">
        <v>179</v>
      </c>
      <c r="O4" s="1">
        <f>MEDIAN(D2:D765)</f>
        <v>9.6</v>
      </c>
    </row>
    <row r="5" spans="1:21" x14ac:dyDescent="0.3">
      <c r="A5">
        <v>3</v>
      </c>
      <c r="B5" t="s">
        <v>21</v>
      </c>
      <c r="C5">
        <v>722</v>
      </c>
      <c r="D5" s="1">
        <v>8</v>
      </c>
      <c r="E5" s="1">
        <v>290.60000000000002</v>
      </c>
      <c r="F5" t="s">
        <v>21</v>
      </c>
      <c r="H5" s="25">
        <f>VLOOKUP(I5,A$2:E$765,5,FALSE)</f>
        <v>143.80000000000001</v>
      </c>
      <c r="I5">
        <v>6</v>
      </c>
      <c r="J5" t="str">
        <f>VLOOKUP(I5,A4:B768,2,FALSE)</f>
        <v>HELLOUIN</v>
      </c>
      <c r="L5" t="s">
        <v>178</v>
      </c>
      <c r="M5" s="1">
        <f>MAX(H2:H125)</f>
        <v>290.60000000000002</v>
      </c>
      <c r="N5" t="s">
        <v>178</v>
      </c>
      <c r="O5" s="1">
        <f>MAX(D2:D765)</f>
        <v>69.2</v>
      </c>
    </row>
    <row r="6" spans="1:21" x14ac:dyDescent="0.3">
      <c r="A6">
        <v>3</v>
      </c>
      <c r="B6" t="s">
        <v>21</v>
      </c>
      <c r="C6">
        <v>733</v>
      </c>
      <c r="D6" s="1">
        <v>18.399999999999999</v>
      </c>
      <c r="E6" s="1">
        <v>290.60000000000002</v>
      </c>
      <c r="F6" t="s">
        <v>21</v>
      </c>
      <c r="H6" s="25">
        <f>VLOOKUP(I6,A$2:E$765,5,FALSE)</f>
        <v>68.7</v>
      </c>
      <c r="I6">
        <v>8</v>
      </c>
      <c r="J6" t="str">
        <f>VLOOKUP(I6,A5:B769,2,FALSE)</f>
        <v>DIARRA</v>
      </c>
      <c r="L6" t="s">
        <v>176</v>
      </c>
      <c r="M6" t="str">
        <f>VLOOKUP(M5,H2:J125,3,FALSE)</f>
        <v>DURAND</v>
      </c>
      <c r="N6" t="s">
        <v>176</v>
      </c>
      <c r="O6" t="str">
        <f>VLOOKUP(O5,D2:F765,3,FALSE)</f>
        <v>MANIN</v>
      </c>
    </row>
    <row r="7" spans="1:21" x14ac:dyDescent="0.3">
      <c r="A7">
        <v>3</v>
      </c>
      <c r="B7" t="s">
        <v>21</v>
      </c>
      <c r="C7">
        <v>877</v>
      </c>
      <c r="D7" s="1">
        <v>38.5</v>
      </c>
      <c r="E7" s="1">
        <v>290.60000000000002</v>
      </c>
      <c r="F7" t="s">
        <v>21</v>
      </c>
      <c r="H7" s="25">
        <f>VLOOKUP(I7,A$2:E$765,5,FALSE)</f>
        <v>93.3</v>
      </c>
      <c r="I7">
        <v>9</v>
      </c>
      <c r="J7" t="str">
        <f>VLOOKUP(I7,A6:B770,2,FALSE)</f>
        <v>VERT</v>
      </c>
      <c r="L7" t="s">
        <v>177</v>
      </c>
      <c r="M7" s="1">
        <f>MIN(H2:H125)</f>
        <v>4.9000000000000004</v>
      </c>
      <c r="N7" t="s">
        <v>177</v>
      </c>
      <c r="O7" s="1">
        <f>MIN(D2:D765)</f>
        <v>3</v>
      </c>
    </row>
    <row r="8" spans="1:21" x14ac:dyDescent="0.3">
      <c r="A8">
        <v>3</v>
      </c>
      <c r="B8" t="s">
        <v>21</v>
      </c>
      <c r="C8">
        <v>912</v>
      </c>
      <c r="D8" s="1">
        <v>12</v>
      </c>
      <c r="E8" s="1">
        <v>290.60000000000002</v>
      </c>
      <c r="F8" t="s">
        <v>21</v>
      </c>
      <c r="H8" s="25">
        <f>VLOOKUP(I8,A$2:E$765,5,FALSE)</f>
        <v>82.2</v>
      </c>
      <c r="I8">
        <v>10</v>
      </c>
      <c r="J8" t="str">
        <f>VLOOKUP(I8,A7:B771,2,FALSE)</f>
        <v>DYNATORI</v>
      </c>
      <c r="L8" t="s">
        <v>176</v>
      </c>
      <c r="M8" t="str">
        <f>VLOOKUP(M7,H2:J125,3,FALSE)</f>
        <v>MEERS</v>
      </c>
      <c r="N8" t="s">
        <v>176</v>
      </c>
      <c r="O8" t="str">
        <f>VLOOKUP(O7,D2:F765,3,FALSE)</f>
        <v>GRANDET</v>
      </c>
    </row>
    <row r="9" spans="1:21" x14ac:dyDescent="0.3">
      <c r="A9">
        <v>3</v>
      </c>
      <c r="B9" t="s">
        <v>21</v>
      </c>
      <c r="C9">
        <v>917</v>
      </c>
      <c r="D9" s="1">
        <v>12.8</v>
      </c>
      <c r="E9" s="1">
        <v>290.60000000000002</v>
      </c>
      <c r="F9" t="s">
        <v>21</v>
      </c>
      <c r="H9" s="25">
        <f>VLOOKUP(I9,A$2:E$765,5,FALSE)</f>
        <v>51.9</v>
      </c>
      <c r="I9">
        <v>11</v>
      </c>
      <c r="J9" t="str">
        <f>VLOOKUP(I9,A8:B772,2,FALSE)</f>
        <v>RICHARD</v>
      </c>
    </row>
    <row r="10" spans="1:21" x14ac:dyDescent="0.3">
      <c r="A10">
        <v>3</v>
      </c>
      <c r="B10" t="s">
        <v>21</v>
      </c>
      <c r="C10">
        <v>920</v>
      </c>
      <c r="D10" s="1">
        <v>22.7</v>
      </c>
      <c r="E10" s="1">
        <v>290.60000000000002</v>
      </c>
      <c r="F10" t="s">
        <v>21</v>
      </c>
      <c r="H10" s="25">
        <f>VLOOKUP(I10,A$2:E$765,5,FALSE)</f>
        <v>202.7</v>
      </c>
      <c r="I10">
        <v>12</v>
      </c>
      <c r="J10" t="str">
        <f>VLOOKUP(I10,A9:B773,2,FALSE)</f>
        <v>MANIN</v>
      </c>
    </row>
    <row r="11" spans="1:21" x14ac:dyDescent="0.3">
      <c r="A11">
        <v>3</v>
      </c>
      <c r="B11" t="s">
        <v>21</v>
      </c>
      <c r="C11">
        <v>939</v>
      </c>
      <c r="D11" s="1">
        <v>5.3</v>
      </c>
      <c r="E11" s="1">
        <v>290.60000000000002</v>
      </c>
      <c r="F11" t="s">
        <v>21</v>
      </c>
      <c r="H11" s="25">
        <f>VLOOKUP(I11,A$2:E$765,5,FALSE)</f>
        <v>178.7</v>
      </c>
      <c r="I11">
        <v>13</v>
      </c>
      <c r="J11" t="str">
        <f>VLOOKUP(I11,A10:B774,2,FALSE)</f>
        <v>GRANDET</v>
      </c>
      <c r="L11" s="24" t="s">
        <v>158</v>
      </c>
      <c r="M11" t="s">
        <v>157</v>
      </c>
      <c r="N11" t="s">
        <v>156</v>
      </c>
      <c r="O11" t="s">
        <v>155</v>
      </c>
      <c r="R11" t="s">
        <v>158</v>
      </c>
      <c r="S11" t="s">
        <v>157</v>
      </c>
      <c r="T11" t="s">
        <v>156</v>
      </c>
      <c r="U11" t="s">
        <v>155</v>
      </c>
    </row>
    <row r="12" spans="1:21" x14ac:dyDescent="0.3">
      <c r="A12">
        <v>3</v>
      </c>
      <c r="B12" t="s">
        <v>21</v>
      </c>
      <c r="C12">
        <v>947</v>
      </c>
      <c r="D12" s="1">
        <v>15.5</v>
      </c>
      <c r="E12" s="1">
        <v>290.60000000000002</v>
      </c>
      <c r="F12" t="s">
        <v>21</v>
      </c>
      <c r="H12" s="25">
        <f>VLOOKUP(I12,A$2:E$765,5,FALSE)</f>
        <v>91</v>
      </c>
      <c r="I12">
        <v>14</v>
      </c>
      <c r="J12" t="str">
        <f>VLOOKUP(I12,A11:B775,2,FALSE)</f>
        <v>TERMER</v>
      </c>
      <c r="L12" s="23" t="s">
        <v>175</v>
      </c>
      <c r="M12">
        <v>181</v>
      </c>
      <c r="N12" s="22">
        <v>0.23691099476439789</v>
      </c>
      <c r="O12" s="22">
        <v>0.23691099476439789</v>
      </c>
      <c r="R12">
        <v>3</v>
      </c>
      <c r="S12">
        <v>1</v>
      </c>
      <c r="T12">
        <v>1.3089005235602095E-3</v>
      </c>
      <c r="U12">
        <v>1.3089005235602095E-3</v>
      </c>
    </row>
    <row r="13" spans="1:21" x14ac:dyDescent="0.3">
      <c r="A13">
        <v>3</v>
      </c>
      <c r="B13" t="s">
        <v>21</v>
      </c>
      <c r="C13">
        <v>971</v>
      </c>
      <c r="D13" s="1">
        <v>25.5</v>
      </c>
      <c r="E13" s="1">
        <v>290.60000000000002</v>
      </c>
      <c r="F13" t="s">
        <v>21</v>
      </c>
      <c r="H13" s="25">
        <f>VLOOKUP(I13,A$2:E$765,5,FALSE)</f>
        <v>90.3</v>
      </c>
      <c r="I13">
        <v>15</v>
      </c>
      <c r="J13" t="str">
        <f>VLOOKUP(I13,A12:B776,2,FALSE)</f>
        <v>BAHL</v>
      </c>
      <c r="L13" s="23" t="s">
        <v>174</v>
      </c>
      <c r="M13">
        <v>169</v>
      </c>
      <c r="N13" s="22">
        <v>0.22120418848167539</v>
      </c>
      <c r="O13" s="22">
        <v>0.45811518324607331</v>
      </c>
      <c r="R13">
        <v>4</v>
      </c>
      <c r="S13">
        <v>5</v>
      </c>
      <c r="T13">
        <v>6.5445026178010471E-3</v>
      </c>
      <c r="U13">
        <v>7.8534031413612562E-3</v>
      </c>
    </row>
    <row r="14" spans="1:21" x14ac:dyDescent="0.3">
      <c r="A14">
        <v>3</v>
      </c>
      <c r="B14" t="s">
        <v>21</v>
      </c>
      <c r="C14">
        <v>1191</v>
      </c>
      <c r="D14" s="1">
        <v>10.4</v>
      </c>
      <c r="E14" s="1">
        <v>290.60000000000002</v>
      </c>
      <c r="F14" t="s">
        <v>21</v>
      </c>
      <c r="H14" s="25">
        <f>VLOOKUP(I14,A$2:E$765,5,FALSE)</f>
        <v>66.400000000000006</v>
      </c>
      <c r="I14">
        <v>16</v>
      </c>
      <c r="J14" t="str">
        <f>VLOOKUP(I14,A13:B777,2,FALSE)</f>
        <v>BEHRTY</v>
      </c>
      <c r="L14" s="23" t="s">
        <v>173</v>
      </c>
      <c r="M14">
        <v>112</v>
      </c>
      <c r="N14" s="22">
        <v>0.14659685863874344</v>
      </c>
      <c r="O14" s="22">
        <v>0.60471204188481675</v>
      </c>
      <c r="R14">
        <v>4.0999999999999996</v>
      </c>
      <c r="S14">
        <v>10</v>
      </c>
      <c r="T14">
        <v>1.3089005235602094E-2</v>
      </c>
      <c r="U14">
        <v>2.0942408376963352E-2</v>
      </c>
    </row>
    <row r="15" spans="1:21" x14ac:dyDescent="0.3">
      <c r="A15">
        <v>3</v>
      </c>
      <c r="B15" t="s">
        <v>21</v>
      </c>
      <c r="C15">
        <v>1196</v>
      </c>
      <c r="D15" s="1">
        <v>7.5</v>
      </c>
      <c r="E15" s="1">
        <v>290.60000000000002</v>
      </c>
      <c r="F15" t="s">
        <v>21</v>
      </c>
      <c r="H15" s="25">
        <f>VLOOKUP(I15,A$2:E$765,5,FALSE)</f>
        <v>37.799999999999997</v>
      </c>
      <c r="I15">
        <v>17</v>
      </c>
      <c r="J15" t="str">
        <f>VLOOKUP(I15,A14:B778,2,FALSE)</f>
        <v>BERMENDOR</v>
      </c>
      <c r="L15" s="23" t="s">
        <v>172</v>
      </c>
      <c r="M15">
        <v>75</v>
      </c>
      <c r="N15" s="22">
        <v>9.8167539267015713E-2</v>
      </c>
      <c r="O15" s="22">
        <v>0.70287958115183247</v>
      </c>
      <c r="R15">
        <v>4.2</v>
      </c>
      <c r="S15">
        <v>6</v>
      </c>
      <c r="T15">
        <v>7.8534031413612562E-3</v>
      </c>
      <c r="U15">
        <v>2.8795811518324606E-2</v>
      </c>
    </row>
    <row r="16" spans="1:21" x14ac:dyDescent="0.3">
      <c r="A16">
        <v>3</v>
      </c>
      <c r="B16" t="s">
        <v>21</v>
      </c>
      <c r="C16">
        <v>1215</v>
      </c>
      <c r="D16" s="1">
        <v>7.7</v>
      </c>
      <c r="E16" s="1">
        <v>290.60000000000002</v>
      </c>
      <c r="F16" t="s">
        <v>21</v>
      </c>
      <c r="H16" s="25">
        <f>VLOOKUP(I16,A$2:E$765,5,FALSE)</f>
        <v>56.3</v>
      </c>
      <c r="I16">
        <v>18</v>
      </c>
      <c r="J16" t="str">
        <f>VLOOKUP(I16,A15:B779,2,FALSE)</f>
        <v>BOLSHAKOVA</v>
      </c>
      <c r="L16" s="23" t="s">
        <v>171</v>
      </c>
      <c r="M16">
        <v>83</v>
      </c>
      <c r="N16" s="22">
        <v>0.10863874345549739</v>
      </c>
      <c r="O16" s="22">
        <v>0.81151832460732987</v>
      </c>
      <c r="R16">
        <v>4.7</v>
      </c>
      <c r="S16">
        <v>5</v>
      </c>
      <c r="T16">
        <v>6.5445026178010471E-3</v>
      </c>
      <c r="U16">
        <v>3.5340314136125657E-2</v>
      </c>
    </row>
    <row r="17" spans="1:21" x14ac:dyDescent="0.3">
      <c r="A17">
        <v>3</v>
      </c>
      <c r="B17" t="s">
        <v>21</v>
      </c>
      <c r="C17">
        <v>1220</v>
      </c>
      <c r="D17" s="1">
        <v>7.5</v>
      </c>
      <c r="E17" s="1">
        <v>290.60000000000002</v>
      </c>
      <c r="F17" t="s">
        <v>21</v>
      </c>
      <c r="H17" s="25">
        <f>VLOOKUP(I17,A$2:E$765,5,FALSE)</f>
        <v>32.799999999999997</v>
      </c>
      <c r="I17">
        <v>19</v>
      </c>
      <c r="J17" t="str">
        <f>VLOOKUP(I17,A16:B780,2,FALSE)</f>
        <v>CARTIER</v>
      </c>
      <c r="L17" s="23" t="s">
        <v>170</v>
      </c>
      <c r="M17">
        <v>39</v>
      </c>
      <c r="N17" s="22">
        <v>5.1047120418848166E-2</v>
      </c>
      <c r="O17" s="22">
        <v>0.86256544502617805</v>
      </c>
      <c r="R17">
        <v>4.8</v>
      </c>
      <c r="S17">
        <v>14</v>
      </c>
      <c r="T17">
        <v>1.832460732984293E-2</v>
      </c>
      <c r="U17">
        <v>5.3664921465968587E-2</v>
      </c>
    </row>
    <row r="18" spans="1:21" x14ac:dyDescent="0.3">
      <c r="A18">
        <v>3</v>
      </c>
      <c r="B18" t="s">
        <v>21</v>
      </c>
      <c r="C18">
        <v>1223</v>
      </c>
      <c r="D18" s="1">
        <v>15.6</v>
      </c>
      <c r="E18" s="1">
        <v>290.60000000000002</v>
      </c>
      <c r="F18" t="s">
        <v>21</v>
      </c>
      <c r="H18" s="25">
        <f>VLOOKUP(I18,A$2:E$765,5,FALSE)</f>
        <v>12.4</v>
      </c>
      <c r="I18">
        <v>20</v>
      </c>
      <c r="J18" t="str">
        <f>VLOOKUP(I18,A17:B781,2,FALSE)</f>
        <v>CHAMBON</v>
      </c>
      <c r="L18" s="23" t="s">
        <v>169</v>
      </c>
      <c r="M18">
        <v>39</v>
      </c>
      <c r="N18" s="22">
        <v>5.1047120418848166E-2</v>
      </c>
      <c r="O18" s="22">
        <v>0.91361256544502623</v>
      </c>
      <c r="R18">
        <v>4.9000000000000004</v>
      </c>
      <c r="S18">
        <v>13</v>
      </c>
      <c r="T18">
        <v>1.7015706806282723E-2</v>
      </c>
      <c r="U18">
        <v>7.0680628272251314E-2</v>
      </c>
    </row>
    <row r="19" spans="1:21" x14ac:dyDescent="0.3">
      <c r="A19">
        <v>3</v>
      </c>
      <c r="B19" t="s">
        <v>21</v>
      </c>
      <c r="C19">
        <v>1242</v>
      </c>
      <c r="D19" s="1">
        <v>9.3000000000000007</v>
      </c>
      <c r="E19" s="1">
        <v>290.60000000000002</v>
      </c>
      <c r="F19" t="s">
        <v>21</v>
      </c>
      <c r="H19" s="25">
        <f>VLOOKUP(I19,A$2:E$765,5,FALSE)</f>
        <v>47.4</v>
      </c>
      <c r="I19">
        <v>21</v>
      </c>
      <c r="J19" t="str">
        <f>VLOOKUP(I19,A18:B782,2,FALSE)</f>
        <v>DORELTZER</v>
      </c>
      <c r="L19" s="23" t="s">
        <v>168</v>
      </c>
      <c r="M19">
        <v>27</v>
      </c>
      <c r="N19" s="22">
        <v>3.5340314136125657E-2</v>
      </c>
      <c r="O19" s="22">
        <v>0.94895287958115182</v>
      </c>
      <c r="R19">
        <v>5.0999999999999996</v>
      </c>
      <c r="S19">
        <v>15</v>
      </c>
      <c r="T19">
        <v>1.9633507853403141E-2</v>
      </c>
      <c r="U19">
        <v>9.0314136125654448E-2</v>
      </c>
    </row>
    <row r="20" spans="1:21" x14ac:dyDescent="0.3">
      <c r="A20">
        <v>3</v>
      </c>
      <c r="B20" t="s">
        <v>21</v>
      </c>
      <c r="C20">
        <v>1254</v>
      </c>
      <c r="D20" s="1">
        <v>9.6</v>
      </c>
      <c r="E20" s="1">
        <v>290.60000000000002</v>
      </c>
      <c r="F20" t="s">
        <v>21</v>
      </c>
      <c r="H20" s="25">
        <f>VLOOKUP(I20,A$2:E$765,5,FALSE)</f>
        <v>73.8</v>
      </c>
      <c r="I20">
        <v>22</v>
      </c>
      <c r="J20" t="str">
        <f>VLOOKUP(I20,A19:B783,2,FALSE)</f>
        <v>EL KOUCHI</v>
      </c>
      <c r="L20" s="23" t="s">
        <v>167</v>
      </c>
      <c r="M20">
        <v>12</v>
      </c>
      <c r="N20" s="22">
        <v>1.5706806282722512E-2</v>
      </c>
      <c r="O20" s="22">
        <v>0.96465968586387429</v>
      </c>
      <c r="R20">
        <v>5.2</v>
      </c>
      <c r="S20">
        <v>52</v>
      </c>
      <c r="T20">
        <v>6.8062827225130892E-2</v>
      </c>
      <c r="U20">
        <v>0.15837696335078533</v>
      </c>
    </row>
    <row r="21" spans="1:21" x14ac:dyDescent="0.3">
      <c r="A21">
        <v>3</v>
      </c>
      <c r="B21" t="s">
        <v>21</v>
      </c>
      <c r="C21">
        <v>1363</v>
      </c>
      <c r="D21" s="1">
        <v>7.5</v>
      </c>
      <c r="E21" s="1">
        <v>290.60000000000002</v>
      </c>
      <c r="F21" t="s">
        <v>21</v>
      </c>
      <c r="H21" s="25">
        <f>VLOOKUP(I21,A$2:E$765,5,FALSE)</f>
        <v>25.7</v>
      </c>
      <c r="I21">
        <v>23</v>
      </c>
      <c r="J21" t="str">
        <f>VLOOKUP(I21,A20:B784,2,FALSE)</f>
        <v>FORLANISSANT</v>
      </c>
      <c r="L21" s="23" t="s">
        <v>166</v>
      </c>
      <c r="M21">
        <v>8</v>
      </c>
      <c r="N21" s="22">
        <v>1.0471204188481676E-2</v>
      </c>
      <c r="O21" s="22">
        <v>0.97513089005235598</v>
      </c>
      <c r="R21">
        <v>5.3</v>
      </c>
      <c r="S21">
        <v>60</v>
      </c>
      <c r="T21">
        <v>7.8534031413612565E-2</v>
      </c>
      <c r="U21">
        <v>0.23691099476439789</v>
      </c>
    </row>
    <row r="22" spans="1:21" x14ac:dyDescent="0.3">
      <c r="A22">
        <v>3</v>
      </c>
      <c r="B22" t="s">
        <v>21</v>
      </c>
      <c r="C22">
        <v>1366</v>
      </c>
      <c r="D22" s="1">
        <v>19.2</v>
      </c>
      <c r="E22" s="1">
        <v>290.60000000000002</v>
      </c>
      <c r="F22" t="s">
        <v>21</v>
      </c>
      <c r="H22" s="25">
        <f>VLOOKUP(I22,A$2:E$765,5,FALSE)</f>
        <v>103.3</v>
      </c>
      <c r="I22">
        <v>24</v>
      </c>
      <c r="J22" t="str">
        <f>VLOOKUP(I22,A21:B785,2,FALSE)</f>
        <v>GHIRBELON</v>
      </c>
      <c r="L22" s="23" t="s">
        <v>165</v>
      </c>
      <c r="M22">
        <v>10</v>
      </c>
      <c r="N22" s="22">
        <v>1.3089005235602094E-2</v>
      </c>
      <c r="O22" s="22">
        <v>0.98821989528795806</v>
      </c>
      <c r="R22">
        <v>6.5</v>
      </c>
      <c r="S22">
        <v>6</v>
      </c>
      <c r="T22">
        <v>7.8534031413612562E-3</v>
      </c>
      <c r="U22">
        <v>0.24476439790575916</v>
      </c>
    </row>
    <row r="23" spans="1:21" x14ac:dyDescent="0.3">
      <c r="A23">
        <v>4</v>
      </c>
      <c r="B23" t="s">
        <v>22</v>
      </c>
      <c r="C23">
        <v>623</v>
      </c>
      <c r="D23" s="1">
        <v>5.2</v>
      </c>
      <c r="E23" s="1">
        <v>174.8</v>
      </c>
      <c r="F23" t="s">
        <v>22</v>
      </c>
      <c r="H23" s="25">
        <f>VLOOKUP(I23,A$2:E$765,5,FALSE)</f>
        <v>49.5</v>
      </c>
      <c r="I23">
        <v>25</v>
      </c>
      <c r="J23" t="str">
        <f>VLOOKUP(I23,A22:B786,2,FALSE)</f>
        <v>HOUS</v>
      </c>
      <c r="L23" s="23" t="s">
        <v>164</v>
      </c>
      <c r="M23">
        <v>3</v>
      </c>
      <c r="N23" s="22">
        <v>3.9267015706806281E-3</v>
      </c>
      <c r="O23" s="22">
        <v>0.99214659685863871</v>
      </c>
      <c r="R23">
        <v>6.7</v>
      </c>
      <c r="S23">
        <v>6</v>
      </c>
      <c r="T23">
        <v>7.8534031413612562E-3</v>
      </c>
      <c r="U23">
        <v>0.25261780104712039</v>
      </c>
    </row>
    <row r="24" spans="1:21" x14ac:dyDescent="0.3">
      <c r="A24">
        <v>4</v>
      </c>
      <c r="B24" t="s">
        <v>22</v>
      </c>
      <c r="C24">
        <v>636</v>
      </c>
      <c r="D24" s="1">
        <v>6.5</v>
      </c>
      <c r="E24" s="1">
        <v>174.8</v>
      </c>
      <c r="F24" t="s">
        <v>22</v>
      </c>
      <c r="H24" s="25">
        <f>VLOOKUP(I24,A$2:E$765,5,FALSE)</f>
        <v>47.8</v>
      </c>
      <c r="I24">
        <v>26</v>
      </c>
      <c r="J24" t="str">
        <f>VLOOKUP(I24,A23:B787,2,FALSE)</f>
        <v>ATTOCHE</v>
      </c>
      <c r="L24" s="23" t="s">
        <v>163</v>
      </c>
      <c r="M24">
        <v>1</v>
      </c>
      <c r="N24" s="22">
        <v>1.3089005235602095E-3</v>
      </c>
      <c r="O24" s="22">
        <v>0.99345549738219896</v>
      </c>
      <c r="R24">
        <v>6.8</v>
      </c>
      <c r="S24">
        <v>22</v>
      </c>
      <c r="T24">
        <v>2.8795811518324606E-2</v>
      </c>
      <c r="U24">
        <v>0.281413612565445</v>
      </c>
    </row>
    <row r="25" spans="1:21" x14ac:dyDescent="0.3">
      <c r="A25">
        <v>4</v>
      </c>
      <c r="B25" t="s">
        <v>22</v>
      </c>
      <c r="C25">
        <v>704</v>
      </c>
      <c r="D25" s="1">
        <v>13.9</v>
      </c>
      <c r="E25" s="1">
        <v>174.8</v>
      </c>
      <c r="F25" t="s">
        <v>22</v>
      </c>
      <c r="H25" s="25">
        <f>VLOOKUP(I25,A$2:E$765,5,FALSE)</f>
        <v>33.6</v>
      </c>
      <c r="I25">
        <v>27</v>
      </c>
      <c r="J25" t="str">
        <f>VLOOKUP(I25,A24:B788,2,FALSE)</f>
        <v>KHEMIS</v>
      </c>
      <c r="L25" s="23" t="s">
        <v>162</v>
      </c>
      <c r="M25">
        <v>1</v>
      </c>
      <c r="N25" s="22">
        <v>1.3089005235602095E-3</v>
      </c>
      <c r="O25" s="22">
        <v>0.99476439790575921</v>
      </c>
      <c r="R25">
        <v>7.4</v>
      </c>
      <c r="S25">
        <v>20</v>
      </c>
      <c r="T25">
        <v>2.6178010471204188E-2</v>
      </c>
      <c r="U25">
        <v>0.30759162303664922</v>
      </c>
    </row>
    <row r="26" spans="1:21" x14ac:dyDescent="0.3">
      <c r="A26">
        <v>4</v>
      </c>
      <c r="B26" t="s">
        <v>22</v>
      </c>
      <c r="C26">
        <v>907</v>
      </c>
      <c r="D26" s="1">
        <v>9.9</v>
      </c>
      <c r="E26" s="1">
        <v>174.8</v>
      </c>
      <c r="F26" t="s">
        <v>22</v>
      </c>
      <c r="H26" s="25">
        <f>VLOOKUP(I26,A$2:E$765,5,FALSE)</f>
        <v>113.5</v>
      </c>
      <c r="I26">
        <v>28</v>
      </c>
      <c r="J26" t="str">
        <f>VLOOKUP(I26,A25:B789,2,FALSE)</f>
        <v>BLAISNE</v>
      </c>
      <c r="L26" s="23" t="s">
        <v>161</v>
      </c>
      <c r="M26">
        <v>1</v>
      </c>
      <c r="N26" s="22">
        <v>1.3089005235602095E-3</v>
      </c>
      <c r="O26" s="22">
        <v>0.99607329842931935</v>
      </c>
      <c r="R26">
        <v>7.5</v>
      </c>
      <c r="S26">
        <v>60</v>
      </c>
      <c r="T26">
        <v>7.8534031413612565E-2</v>
      </c>
      <c r="U26">
        <v>0.38612565445026176</v>
      </c>
    </row>
    <row r="27" spans="1:21" x14ac:dyDescent="0.3">
      <c r="A27">
        <v>4</v>
      </c>
      <c r="B27" t="s">
        <v>22</v>
      </c>
      <c r="C27">
        <v>935</v>
      </c>
      <c r="D27" s="1">
        <v>8</v>
      </c>
      <c r="E27" s="1">
        <v>174.8</v>
      </c>
      <c r="F27" t="s">
        <v>22</v>
      </c>
      <c r="H27" s="25">
        <f>VLOOKUP(I27,A$2:E$765,5,FALSE)</f>
        <v>15.8</v>
      </c>
      <c r="I27">
        <v>29</v>
      </c>
      <c r="J27" t="str">
        <f>VLOOKUP(I27,A26:B790,2,FALSE)</f>
        <v>LERONG</v>
      </c>
      <c r="L27" s="23" t="s">
        <v>160</v>
      </c>
      <c r="M27">
        <v>2</v>
      </c>
      <c r="N27" s="22">
        <v>2.617801047120419E-3</v>
      </c>
      <c r="O27" s="22">
        <v>0.99869109947643975</v>
      </c>
      <c r="R27">
        <v>7.6</v>
      </c>
      <c r="S27">
        <v>15</v>
      </c>
      <c r="T27">
        <v>1.9633507853403141E-2</v>
      </c>
      <c r="U27">
        <v>0.40575916230366493</v>
      </c>
    </row>
    <row r="28" spans="1:21" x14ac:dyDescent="0.3">
      <c r="A28">
        <v>4</v>
      </c>
      <c r="B28" t="s">
        <v>22</v>
      </c>
      <c r="C28">
        <v>969</v>
      </c>
      <c r="D28" s="1">
        <v>30</v>
      </c>
      <c r="E28" s="1">
        <v>174.8</v>
      </c>
      <c r="F28" t="s">
        <v>22</v>
      </c>
      <c r="H28" s="25">
        <f>VLOOKUP(I28,A$2:E$765,5,FALSE)</f>
        <v>54.6</v>
      </c>
      <c r="I28">
        <v>30</v>
      </c>
      <c r="J28" t="str">
        <f>VLOOKUP(I28,A27:B791,2,FALSE)</f>
        <v>LINU</v>
      </c>
      <c r="L28" s="23" t="s">
        <v>159</v>
      </c>
      <c r="M28">
        <v>1</v>
      </c>
      <c r="N28" s="22">
        <v>1.3089005235602095E-3</v>
      </c>
      <c r="O28" s="22">
        <v>1</v>
      </c>
      <c r="R28">
        <v>7.7</v>
      </c>
      <c r="S28">
        <v>37</v>
      </c>
      <c r="T28">
        <v>4.8429319371727751E-2</v>
      </c>
      <c r="U28">
        <v>0.45418848167539266</v>
      </c>
    </row>
    <row r="29" spans="1:21" x14ac:dyDescent="0.3">
      <c r="A29">
        <v>4</v>
      </c>
      <c r="B29" t="s">
        <v>22</v>
      </c>
      <c r="C29">
        <v>980</v>
      </c>
      <c r="D29" s="1">
        <v>7.5</v>
      </c>
      <c r="E29" s="1">
        <v>174.8</v>
      </c>
      <c r="F29" t="s">
        <v>22</v>
      </c>
      <c r="H29" s="25">
        <f>VLOOKUP(I29,A$2:E$765,5,FALSE)</f>
        <v>66.099999999999994</v>
      </c>
      <c r="I29">
        <v>31</v>
      </c>
      <c r="J29" t="str">
        <f>VLOOKUP(I29,A28:B792,2,FALSE)</f>
        <v>MAVEL</v>
      </c>
      <c r="L29" s="23" t="s">
        <v>143</v>
      </c>
      <c r="M29">
        <v>764</v>
      </c>
      <c r="N29" s="22">
        <v>1</v>
      </c>
      <c r="O29" s="22"/>
      <c r="R29">
        <v>7.8</v>
      </c>
      <c r="S29">
        <v>2</v>
      </c>
      <c r="T29">
        <v>2.617801047120419E-3</v>
      </c>
      <c r="U29">
        <v>0.45680628272251311</v>
      </c>
    </row>
    <row r="30" spans="1:21" x14ac:dyDescent="0.3">
      <c r="A30">
        <v>4</v>
      </c>
      <c r="B30" t="s">
        <v>22</v>
      </c>
      <c r="C30">
        <v>1031</v>
      </c>
      <c r="D30" s="1">
        <v>5.3</v>
      </c>
      <c r="E30" s="1">
        <v>174.8</v>
      </c>
      <c r="F30" t="s">
        <v>22</v>
      </c>
      <c r="H30" s="25">
        <f>VLOOKUP(I30,A$2:E$765,5,FALSE)</f>
        <v>130.30000000000001</v>
      </c>
      <c r="I30">
        <v>32</v>
      </c>
      <c r="J30" t="str">
        <f>VLOOKUP(I30,A29:B793,2,FALSE)</f>
        <v>MENARDIN</v>
      </c>
      <c r="R30">
        <v>7.9</v>
      </c>
      <c r="S30">
        <v>1</v>
      </c>
      <c r="T30">
        <v>1.3089005235602095E-3</v>
      </c>
      <c r="U30">
        <v>0.45811518324607331</v>
      </c>
    </row>
    <row r="31" spans="1:21" x14ac:dyDescent="0.3">
      <c r="A31">
        <v>4</v>
      </c>
      <c r="B31" t="s">
        <v>22</v>
      </c>
      <c r="C31">
        <v>1188</v>
      </c>
      <c r="D31" s="1">
        <v>7.5</v>
      </c>
      <c r="E31" s="1">
        <v>174.8</v>
      </c>
      <c r="F31" t="s">
        <v>22</v>
      </c>
      <c r="H31" s="25">
        <f>VLOOKUP(I31,A$2:E$765,5,FALSE)</f>
        <v>71.400000000000006</v>
      </c>
      <c r="I31">
        <v>33</v>
      </c>
      <c r="J31" t="str">
        <f>VLOOKUP(I31,A30:B794,2,FALSE)</f>
        <v>NGUYEN</v>
      </c>
      <c r="R31">
        <v>8</v>
      </c>
      <c r="S31">
        <v>7</v>
      </c>
      <c r="T31">
        <v>9.1623036649214652E-3</v>
      </c>
      <c r="U31">
        <v>0.46727748691099474</v>
      </c>
    </row>
    <row r="32" spans="1:21" x14ac:dyDescent="0.3">
      <c r="A32">
        <v>4</v>
      </c>
      <c r="B32" t="s">
        <v>22</v>
      </c>
      <c r="C32">
        <v>1210</v>
      </c>
      <c r="D32" s="1">
        <v>15.4</v>
      </c>
      <c r="E32" s="1">
        <v>174.8</v>
      </c>
      <c r="F32" t="s">
        <v>22</v>
      </c>
      <c r="H32" s="25">
        <f>VLOOKUP(I32,A$2:E$765,5,FALSE)</f>
        <v>90.2</v>
      </c>
      <c r="I32">
        <v>34</v>
      </c>
      <c r="J32" t="str">
        <f>VLOOKUP(I32,A31:B795,2,FALSE)</f>
        <v>OUADICH</v>
      </c>
      <c r="L32" t="s">
        <v>158</v>
      </c>
      <c r="M32" t="s">
        <v>157</v>
      </c>
      <c r="N32" t="s">
        <v>156</v>
      </c>
      <c r="O32" t="s">
        <v>155</v>
      </c>
      <c r="R32">
        <v>8.1999999999999993</v>
      </c>
      <c r="S32">
        <v>7</v>
      </c>
      <c r="T32">
        <v>9.1623036649214652E-3</v>
      </c>
      <c r="U32">
        <v>0.47643979057591623</v>
      </c>
    </row>
    <row r="33" spans="1:21" x14ac:dyDescent="0.3">
      <c r="A33">
        <v>4</v>
      </c>
      <c r="B33" t="s">
        <v>22</v>
      </c>
      <c r="C33">
        <v>1212</v>
      </c>
      <c r="D33" s="1">
        <v>12.8</v>
      </c>
      <c r="E33" s="1">
        <v>174.8</v>
      </c>
      <c r="F33" t="s">
        <v>22</v>
      </c>
      <c r="H33" s="25">
        <f>VLOOKUP(I33,A$2:E$765,5,FALSE)</f>
        <v>76.900000000000006</v>
      </c>
      <c r="I33">
        <v>35</v>
      </c>
      <c r="J33" t="str">
        <f>VLOOKUP(I33,A32:B796,2,FALSE)</f>
        <v>PHAM</v>
      </c>
      <c r="L33">
        <v>0</v>
      </c>
      <c r="M33">
        <v>0</v>
      </c>
      <c r="N33">
        <v>0</v>
      </c>
      <c r="O33">
        <v>0</v>
      </c>
      <c r="R33">
        <v>8.3000000000000007</v>
      </c>
      <c r="S33">
        <v>1</v>
      </c>
      <c r="T33">
        <v>1.3089005235602095E-3</v>
      </c>
      <c r="U33">
        <v>0.47774869109947643</v>
      </c>
    </row>
    <row r="34" spans="1:21" x14ac:dyDescent="0.3">
      <c r="A34">
        <v>4</v>
      </c>
      <c r="B34" t="s">
        <v>22</v>
      </c>
      <c r="C34">
        <v>1238</v>
      </c>
      <c r="D34" s="1">
        <v>5.2</v>
      </c>
      <c r="E34" s="1">
        <v>174.8</v>
      </c>
      <c r="F34" t="s">
        <v>22</v>
      </c>
      <c r="H34" s="25">
        <f>VLOOKUP(I34,A$2:E$765,5,FALSE)</f>
        <v>54</v>
      </c>
      <c r="I34">
        <v>36</v>
      </c>
      <c r="J34" t="str">
        <f>VLOOKUP(I34,A33:B797,2,FALSE)</f>
        <v>PRALIER</v>
      </c>
      <c r="L34">
        <v>2.5</v>
      </c>
      <c r="M34">
        <v>0</v>
      </c>
      <c r="N34">
        <v>0</v>
      </c>
      <c r="O34">
        <v>0</v>
      </c>
      <c r="R34">
        <v>8.9</v>
      </c>
      <c r="S34">
        <v>4</v>
      </c>
      <c r="T34">
        <v>5.235602094240838E-3</v>
      </c>
      <c r="U34">
        <v>0.48298429319371727</v>
      </c>
    </row>
    <row r="35" spans="1:21" x14ac:dyDescent="0.3">
      <c r="A35">
        <v>4</v>
      </c>
      <c r="B35" t="s">
        <v>22</v>
      </c>
      <c r="C35">
        <v>1252</v>
      </c>
      <c r="D35" s="1">
        <v>28.7</v>
      </c>
      <c r="E35" s="1">
        <v>174.8</v>
      </c>
      <c r="F35" t="s">
        <v>22</v>
      </c>
      <c r="H35" s="25">
        <f>VLOOKUP(I35,A$2:E$765,5,FALSE)</f>
        <v>81.7</v>
      </c>
      <c r="I35">
        <v>37</v>
      </c>
      <c r="J35" t="str">
        <f>VLOOKUP(I35,A34:B798,2,FALSE)</f>
        <v>BARTHELEMO</v>
      </c>
      <c r="L35">
        <v>5.5</v>
      </c>
      <c r="M35">
        <v>181</v>
      </c>
      <c r="N35">
        <v>0.23691099476439789</v>
      </c>
      <c r="O35" s="22">
        <v>0.23691099476439789</v>
      </c>
      <c r="R35">
        <v>9.1999999999999993</v>
      </c>
      <c r="S35">
        <v>1</v>
      </c>
      <c r="T35">
        <v>1.3089005235602095E-3</v>
      </c>
      <c r="U35">
        <v>0.48429319371727747</v>
      </c>
    </row>
    <row r="36" spans="1:21" x14ac:dyDescent="0.3">
      <c r="A36">
        <v>4</v>
      </c>
      <c r="B36" t="s">
        <v>22</v>
      </c>
      <c r="C36">
        <v>1283</v>
      </c>
      <c r="D36" s="1">
        <v>5.3</v>
      </c>
      <c r="E36" s="1">
        <v>174.8</v>
      </c>
      <c r="F36" t="s">
        <v>22</v>
      </c>
      <c r="H36" s="25">
        <f>VLOOKUP(I36,A$2:E$765,5,FALSE)</f>
        <v>64.5</v>
      </c>
      <c r="I36">
        <v>38</v>
      </c>
      <c r="J36" t="str">
        <f>VLOOKUP(I36,A35:B799,2,FALSE)</f>
        <v>MURGATTI</v>
      </c>
      <c r="L36">
        <v>8</v>
      </c>
      <c r="M36">
        <v>169</v>
      </c>
      <c r="N36">
        <v>0.22120418848167539</v>
      </c>
      <c r="O36" s="22">
        <v>0.45811518324607331</v>
      </c>
      <c r="R36">
        <v>9.3000000000000007</v>
      </c>
      <c r="S36">
        <v>1</v>
      </c>
      <c r="T36">
        <v>1.3089005235602095E-3</v>
      </c>
      <c r="U36">
        <v>0.48560209424083772</v>
      </c>
    </row>
    <row r="37" spans="1:21" x14ac:dyDescent="0.3">
      <c r="A37">
        <v>4</v>
      </c>
      <c r="B37" t="s">
        <v>22</v>
      </c>
      <c r="C37">
        <v>1353</v>
      </c>
      <c r="D37" s="1">
        <v>6.8</v>
      </c>
      <c r="E37" s="1">
        <v>174.8</v>
      </c>
      <c r="F37" t="s">
        <v>22</v>
      </c>
      <c r="H37" s="25">
        <f>VLOOKUP(I37,A$2:E$765,5,FALSE)</f>
        <v>65</v>
      </c>
      <c r="I37">
        <v>39</v>
      </c>
      <c r="J37" t="str">
        <f>VLOOKUP(I37,A36:B800,2,FALSE)</f>
        <v>PALMAR</v>
      </c>
      <c r="L37">
        <v>10.5</v>
      </c>
      <c r="M37">
        <v>112</v>
      </c>
      <c r="N37">
        <v>0.14659685863874344</v>
      </c>
      <c r="O37" s="22">
        <v>0.60471204188481675</v>
      </c>
      <c r="R37">
        <v>9.4</v>
      </c>
      <c r="S37">
        <v>6</v>
      </c>
      <c r="T37">
        <v>7.8534031413612562E-3</v>
      </c>
      <c r="U37">
        <v>0.49345549738219896</v>
      </c>
    </row>
    <row r="38" spans="1:21" x14ac:dyDescent="0.3">
      <c r="A38">
        <v>4</v>
      </c>
      <c r="B38" t="s">
        <v>22</v>
      </c>
      <c r="C38">
        <v>1355</v>
      </c>
      <c r="D38" s="1">
        <v>6.8</v>
      </c>
      <c r="E38" s="1">
        <v>174.8</v>
      </c>
      <c r="F38" t="s">
        <v>22</v>
      </c>
      <c r="H38" s="25">
        <f>VLOOKUP(I38,A$2:E$765,5,FALSE)</f>
        <v>102</v>
      </c>
      <c r="I38">
        <v>40</v>
      </c>
      <c r="J38" t="str">
        <f>VLOOKUP(I38,A37:B801,2,FALSE)</f>
        <v>GANRE</v>
      </c>
      <c r="L38">
        <v>13</v>
      </c>
      <c r="M38">
        <v>75</v>
      </c>
      <c r="N38">
        <v>9.8167539267015713E-2</v>
      </c>
      <c r="O38" s="22">
        <v>0.70287958115183247</v>
      </c>
      <c r="R38">
        <v>9.6</v>
      </c>
      <c r="S38">
        <v>18</v>
      </c>
      <c r="T38">
        <v>2.356020942408377E-2</v>
      </c>
      <c r="U38">
        <v>0.51701570680628273</v>
      </c>
    </row>
    <row r="39" spans="1:21" x14ac:dyDescent="0.3">
      <c r="A39">
        <v>5</v>
      </c>
      <c r="B39" t="s">
        <v>23</v>
      </c>
      <c r="C39">
        <v>593</v>
      </c>
      <c r="D39" s="1">
        <v>7.6</v>
      </c>
      <c r="E39" s="1">
        <v>156.80000000000001</v>
      </c>
      <c r="F39" t="s">
        <v>23</v>
      </c>
      <c r="H39" s="25">
        <f>VLOOKUP(I39,A$2:E$765,5,FALSE)</f>
        <v>109.1</v>
      </c>
      <c r="I39">
        <v>41</v>
      </c>
      <c r="J39" t="str">
        <f>VLOOKUP(I39,A38:B802,2,FALSE)</f>
        <v>GARMESSON</v>
      </c>
      <c r="L39">
        <v>15.5</v>
      </c>
      <c r="M39">
        <v>83</v>
      </c>
      <c r="N39">
        <v>0.10863874345549739</v>
      </c>
      <c r="O39" s="22">
        <v>0.81151832460732987</v>
      </c>
      <c r="R39">
        <v>9.8000000000000007</v>
      </c>
      <c r="S39">
        <v>9</v>
      </c>
      <c r="T39">
        <v>1.1780104712041885E-2</v>
      </c>
      <c r="U39">
        <v>0.52879581151832455</v>
      </c>
    </row>
    <row r="40" spans="1:21" x14ac:dyDescent="0.3">
      <c r="A40">
        <v>5</v>
      </c>
      <c r="B40" t="s">
        <v>23</v>
      </c>
      <c r="C40">
        <v>601</v>
      </c>
      <c r="D40" s="1">
        <v>5.2</v>
      </c>
      <c r="E40" s="1">
        <v>156.80000000000001</v>
      </c>
      <c r="F40" t="s">
        <v>23</v>
      </c>
      <c r="H40" s="25">
        <f>VLOOKUP(I40,A$2:E$765,5,FALSE)</f>
        <v>76.2</v>
      </c>
      <c r="I40">
        <v>42</v>
      </c>
      <c r="J40" t="str">
        <f>VLOOKUP(I40,A39:B803,2,FALSE)</f>
        <v>PIZZA-COMBE</v>
      </c>
      <c r="L40">
        <v>18</v>
      </c>
      <c r="M40">
        <v>39</v>
      </c>
      <c r="N40">
        <v>5.1047120418848166E-2</v>
      </c>
      <c r="O40" s="22">
        <v>0.86256544502617805</v>
      </c>
      <c r="R40">
        <v>9.9</v>
      </c>
      <c r="S40">
        <v>6</v>
      </c>
      <c r="T40">
        <v>7.8534031413612562E-3</v>
      </c>
      <c r="U40">
        <v>0.53664921465968585</v>
      </c>
    </row>
    <row r="41" spans="1:21" x14ac:dyDescent="0.3">
      <c r="A41">
        <v>5</v>
      </c>
      <c r="B41" t="s">
        <v>23</v>
      </c>
      <c r="C41">
        <v>878</v>
      </c>
      <c r="D41" s="1">
        <v>22.7</v>
      </c>
      <c r="E41" s="1">
        <v>156.80000000000001</v>
      </c>
      <c r="F41" t="s">
        <v>23</v>
      </c>
      <c r="H41" s="25">
        <f>VLOOKUP(I41,A$2:E$765,5,FALSE)</f>
        <v>138.80000000000001</v>
      </c>
      <c r="I41">
        <v>43</v>
      </c>
      <c r="J41" t="str">
        <f>VLOOKUP(I41,A40:B804,2,FALSE)</f>
        <v>ROMAGNAL</v>
      </c>
      <c r="L41">
        <v>20.5</v>
      </c>
      <c r="M41">
        <v>39</v>
      </c>
      <c r="N41">
        <v>5.1047120418848166E-2</v>
      </c>
      <c r="O41" s="22">
        <v>0.91361256544502623</v>
      </c>
      <c r="R41">
        <v>10</v>
      </c>
      <c r="S41">
        <v>2</v>
      </c>
      <c r="T41">
        <v>2.617801047120419E-3</v>
      </c>
      <c r="U41">
        <v>0.53926701570680624</v>
      </c>
    </row>
    <row r="42" spans="1:21" x14ac:dyDescent="0.3">
      <c r="A42">
        <v>5</v>
      </c>
      <c r="B42" t="s">
        <v>23</v>
      </c>
      <c r="C42">
        <v>898</v>
      </c>
      <c r="D42" s="1">
        <v>9.6</v>
      </c>
      <c r="E42" s="1">
        <v>156.80000000000001</v>
      </c>
      <c r="F42" t="s">
        <v>23</v>
      </c>
      <c r="H42" s="25">
        <f>VLOOKUP(I42,A$2:E$765,5,FALSE)</f>
        <v>87.5</v>
      </c>
      <c r="I42">
        <v>44</v>
      </c>
      <c r="J42" t="str">
        <f>VLOOKUP(I42,A41:B805,2,FALSE)</f>
        <v>BRODERIE</v>
      </c>
      <c r="L42">
        <v>23</v>
      </c>
      <c r="M42">
        <v>27</v>
      </c>
      <c r="N42">
        <v>3.5340314136125657E-2</v>
      </c>
      <c r="O42" s="22">
        <v>0.94895287958115182</v>
      </c>
      <c r="R42">
        <v>10.1</v>
      </c>
      <c r="S42">
        <v>8</v>
      </c>
      <c r="T42">
        <v>1.0471204188481676E-2</v>
      </c>
      <c r="U42">
        <v>0.54973821989528793</v>
      </c>
    </row>
    <row r="43" spans="1:21" x14ac:dyDescent="0.3">
      <c r="A43">
        <v>5</v>
      </c>
      <c r="B43" t="s">
        <v>23</v>
      </c>
      <c r="C43">
        <v>922</v>
      </c>
      <c r="D43" s="1">
        <v>10.1</v>
      </c>
      <c r="E43" s="1">
        <v>156.80000000000001</v>
      </c>
      <c r="F43" t="s">
        <v>23</v>
      </c>
      <c r="H43" s="25">
        <f>VLOOKUP(I43,A$2:E$765,5,FALSE)</f>
        <v>45.7</v>
      </c>
      <c r="I43">
        <v>45</v>
      </c>
      <c r="J43" t="str">
        <f>VLOOKUP(I43,A42:B806,2,FALSE)</f>
        <v>TISSURIER</v>
      </c>
      <c r="L43">
        <v>25.5</v>
      </c>
      <c r="M43">
        <v>12</v>
      </c>
      <c r="N43">
        <v>1.5706806282722512E-2</v>
      </c>
      <c r="O43" s="22">
        <v>0.96465968586387429</v>
      </c>
      <c r="R43">
        <v>10.199999999999999</v>
      </c>
      <c r="S43">
        <v>6</v>
      </c>
      <c r="T43">
        <v>7.8534031413612562E-3</v>
      </c>
      <c r="U43">
        <v>0.55759162303664922</v>
      </c>
    </row>
    <row r="44" spans="1:21" x14ac:dyDescent="0.3">
      <c r="A44">
        <v>5</v>
      </c>
      <c r="B44" t="s">
        <v>23</v>
      </c>
      <c r="C44">
        <v>946</v>
      </c>
      <c r="D44" s="1">
        <v>7.5</v>
      </c>
      <c r="E44" s="1">
        <v>156.80000000000001</v>
      </c>
      <c r="F44" t="s">
        <v>23</v>
      </c>
      <c r="H44" s="25">
        <f>VLOOKUP(I44,A$2:E$765,5,FALSE)</f>
        <v>45.8</v>
      </c>
      <c r="I44">
        <v>46</v>
      </c>
      <c r="J44" t="str">
        <f>VLOOKUP(I44,A43:B807,2,FALSE)</f>
        <v>LAURENTONI</v>
      </c>
      <c r="L44">
        <v>28</v>
      </c>
      <c r="M44">
        <v>8</v>
      </c>
      <c r="N44">
        <v>1.0471204188481676E-2</v>
      </c>
      <c r="O44" s="22">
        <v>0.97513089005235598</v>
      </c>
      <c r="R44">
        <v>10.3</v>
      </c>
      <c r="S44">
        <v>4</v>
      </c>
      <c r="T44">
        <v>5.235602094240838E-3</v>
      </c>
      <c r="U44">
        <v>0.56282722513089001</v>
      </c>
    </row>
    <row r="45" spans="1:21" x14ac:dyDescent="0.3">
      <c r="A45">
        <v>5</v>
      </c>
      <c r="B45" t="s">
        <v>23</v>
      </c>
      <c r="C45">
        <v>951</v>
      </c>
      <c r="D45" s="1">
        <v>25.2</v>
      </c>
      <c r="E45" s="1">
        <v>156.80000000000001</v>
      </c>
      <c r="F45" t="s">
        <v>23</v>
      </c>
      <c r="H45" s="25">
        <f>VLOOKUP(I45,A$2:E$765,5,FALSE)</f>
        <v>203</v>
      </c>
      <c r="I45">
        <v>47</v>
      </c>
      <c r="J45" t="str">
        <f>VLOOKUP(I45,A44:B808,2,FALSE)</f>
        <v>TREDIS</v>
      </c>
      <c r="L45">
        <v>30.5</v>
      </c>
      <c r="M45">
        <v>10</v>
      </c>
      <c r="N45">
        <v>1.3089005235602094E-2</v>
      </c>
      <c r="O45" s="22">
        <v>0.98821989528795806</v>
      </c>
      <c r="R45">
        <v>10.4</v>
      </c>
      <c r="S45">
        <v>32</v>
      </c>
      <c r="T45">
        <v>4.1884816753926704E-2</v>
      </c>
      <c r="U45">
        <v>0.60471204188481675</v>
      </c>
    </row>
    <row r="46" spans="1:21" x14ac:dyDescent="0.3">
      <c r="A46">
        <v>5</v>
      </c>
      <c r="B46" t="s">
        <v>23</v>
      </c>
      <c r="C46">
        <v>1181</v>
      </c>
      <c r="D46" s="1">
        <v>12.7</v>
      </c>
      <c r="E46" s="1">
        <v>156.80000000000001</v>
      </c>
      <c r="F46" t="s">
        <v>23</v>
      </c>
      <c r="H46" s="25">
        <f>VLOOKUP(I46,A$2:E$765,5,FALSE)</f>
        <v>139.69999999999999</v>
      </c>
      <c r="I46">
        <v>48</v>
      </c>
      <c r="J46" t="str">
        <f>VLOOKUP(I46,A45:B809,2,FALSE)</f>
        <v>GOUFARDE</v>
      </c>
      <c r="L46">
        <v>33</v>
      </c>
      <c r="M46">
        <v>3</v>
      </c>
      <c r="N46">
        <v>3.9267015706806281E-3</v>
      </c>
      <c r="O46" s="22">
        <v>0.99214659685863871</v>
      </c>
      <c r="R46">
        <v>10.5</v>
      </c>
      <c r="S46">
        <v>3</v>
      </c>
      <c r="T46">
        <v>3.9267015706806281E-3</v>
      </c>
      <c r="U46">
        <v>0.6086387434554974</v>
      </c>
    </row>
    <row r="47" spans="1:21" x14ac:dyDescent="0.3">
      <c r="A47">
        <v>5</v>
      </c>
      <c r="B47" t="s">
        <v>23</v>
      </c>
      <c r="C47">
        <v>1197</v>
      </c>
      <c r="D47" s="1">
        <v>15</v>
      </c>
      <c r="E47" s="1">
        <v>156.80000000000001</v>
      </c>
      <c r="F47" t="s">
        <v>23</v>
      </c>
      <c r="H47" s="25">
        <f>VLOOKUP(I47,A$2:E$765,5,FALSE)</f>
        <v>135.6</v>
      </c>
      <c r="I47">
        <v>49</v>
      </c>
      <c r="J47" t="str">
        <f>VLOOKUP(I47,A46:B810,2,FALSE)</f>
        <v>DHAOU</v>
      </c>
      <c r="L47">
        <v>35.5</v>
      </c>
      <c r="M47">
        <v>1</v>
      </c>
      <c r="N47">
        <v>1.3089005235602095E-3</v>
      </c>
      <c r="O47" s="22">
        <v>0.99345549738219896</v>
      </c>
      <c r="R47">
        <v>10.6</v>
      </c>
      <c r="S47">
        <v>31</v>
      </c>
      <c r="T47">
        <v>4.0575916230366493E-2</v>
      </c>
      <c r="U47">
        <v>0.64921465968586389</v>
      </c>
    </row>
    <row r="48" spans="1:21" x14ac:dyDescent="0.3">
      <c r="A48">
        <v>5</v>
      </c>
      <c r="B48" t="s">
        <v>23</v>
      </c>
      <c r="C48">
        <v>1201</v>
      </c>
      <c r="D48" s="1">
        <v>10.6</v>
      </c>
      <c r="E48" s="1">
        <v>156.80000000000001</v>
      </c>
      <c r="F48" t="s">
        <v>23</v>
      </c>
      <c r="H48" s="25">
        <f>VLOOKUP(I48,A$2:E$765,5,FALSE)</f>
        <v>110.1</v>
      </c>
      <c r="I48">
        <v>50</v>
      </c>
      <c r="J48" t="str">
        <f>VLOOKUP(I48,A47:B811,2,FALSE)</f>
        <v>BOISSIEU</v>
      </c>
      <c r="L48">
        <v>38</v>
      </c>
      <c r="M48">
        <v>1</v>
      </c>
      <c r="N48">
        <v>1.3089005235602095E-3</v>
      </c>
      <c r="O48" s="22">
        <v>0.99476439790575921</v>
      </c>
      <c r="R48">
        <v>11.5</v>
      </c>
      <c r="S48">
        <v>1</v>
      </c>
      <c r="T48">
        <v>1.3089005235602095E-3</v>
      </c>
      <c r="U48">
        <v>0.65052356020942403</v>
      </c>
    </row>
    <row r="49" spans="1:21" x14ac:dyDescent="0.3">
      <c r="A49">
        <v>5</v>
      </c>
      <c r="B49" t="s">
        <v>23</v>
      </c>
      <c r="C49">
        <v>1221</v>
      </c>
      <c r="D49" s="1">
        <v>10.6</v>
      </c>
      <c r="E49" s="1">
        <v>156.80000000000001</v>
      </c>
      <c r="F49" t="s">
        <v>23</v>
      </c>
      <c r="H49" s="25">
        <f>VLOOKUP(I49,A$2:E$765,5,FALSE)</f>
        <v>84</v>
      </c>
      <c r="I49">
        <v>51</v>
      </c>
      <c r="J49" t="str">
        <f>VLOOKUP(I49,A48:B812,2,FALSE)</f>
        <v>DELVE</v>
      </c>
      <c r="L49">
        <v>40.5</v>
      </c>
      <c r="M49">
        <v>1</v>
      </c>
      <c r="N49">
        <v>1.3089005235602095E-3</v>
      </c>
      <c r="O49" s="22">
        <v>0.99607329842931935</v>
      </c>
      <c r="R49">
        <v>11.6</v>
      </c>
      <c r="S49">
        <v>1</v>
      </c>
      <c r="T49">
        <v>1.3089005235602095E-3</v>
      </c>
      <c r="U49">
        <v>0.65183246073298429</v>
      </c>
    </row>
    <row r="50" spans="1:21" x14ac:dyDescent="0.3">
      <c r="A50">
        <v>5</v>
      </c>
      <c r="B50" t="s">
        <v>23</v>
      </c>
      <c r="C50">
        <v>1240</v>
      </c>
      <c r="D50" s="1">
        <v>7.7</v>
      </c>
      <c r="E50" s="1">
        <v>156.80000000000001</v>
      </c>
      <c r="F50" t="s">
        <v>23</v>
      </c>
      <c r="H50" s="25">
        <f>VLOOKUP(I50,A$2:E$765,5,FALSE)</f>
        <v>119.2</v>
      </c>
      <c r="I50">
        <v>52</v>
      </c>
      <c r="J50" t="str">
        <f>VLOOKUP(I50,A49:B813,2,FALSE)</f>
        <v>LAGOUAR</v>
      </c>
      <c r="L50">
        <v>43</v>
      </c>
      <c r="M50">
        <v>2</v>
      </c>
      <c r="N50">
        <v>2.617801047120419E-3</v>
      </c>
      <c r="O50" s="22">
        <v>0.99869109947643975</v>
      </c>
      <c r="R50">
        <v>11.7</v>
      </c>
      <c r="S50">
        <v>4</v>
      </c>
      <c r="T50">
        <v>5.235602094240838E-3</v>
      </c>
      <c r="U50">
        <v>0.65706806282722519</v>
      </c>
    </row>
    <row r="51" spans="1:21" x14ac:dyDescent="0.3">
      <c r="A51">
        <v>5</v>
      </c>
      <c r="B51" t="s">
        <v>23</v>
      </c>
      <c r="C51">
        <v>1364</v>
      </c>
      <c r="D51" s="1">
        <v>4.8</v>
      </c>
      <c r="E51" s="1">
        <v>156.80000000000001</v>
      </c>
      <c r="F51" t="s">
        <v>23</v>
      </c>
      <c r="H51" s="25">
        <f>VLOOKUP(I51,A$2:E$765,5,FALSE)</f>
        <v>93.7</v>
      </c>
      <c r="I51">
        <v>53</v>
      </c>
      <c r="J51" t="str">
        <f>VLOOKUP(I51,A50:B814,2,FALSE)</f>
        <v>AMINI</v>
      </c>
      <c r="L51">
        <v>70.5</v>
      </c>
      <c r="M51">
        <v>1</v>
      </c>
      <c r="N51">
        <v>1.3089005235602095E-3</v>
      </c>
      <c r="O51" s="22">
        <v>1</v>
      </c>
      <c r="R51">
        <v>11.8</v>
      </c>
      <c r="S51">
        <v>1</v>
      </c>
      <c r="T51">
        <v>1.3089005235602095E-3</v>
      </c>
      <c r="U51">
        <v>0.65837696335078533</v>
      </c>
    </row>
    <row r="52" spans="1:21" x14ac:dyDescent="0.3">
      <c r="A52">
        <v>5</v>
      </c>
      <c r="B52" t="s">
        <v>23</v>
      </c>
      <c r="C52">
        <v>1368</v>
      </c>
      <c r="D52" s="1">
        <v>7.5</v>
      </c>
      <c r="E52" s="1">
        <v>156.80000000000001</v>
      </c>
      <c r="F52" t="s">
        <v>23</v>
      </c>
      <c r="H52" s="25">
        <f>VLOOKUP(I52,A$2:E$765,5,FALSE)</f>
        <v>135.4</v>
      </c>
      <c r="I52">
        <v>54</v>
      </c>
      <c r="J52" t="str">
        <f>VLOOKUP(I52,A51:B815,2,FALSE)</f>
        <v>MAC AVLEY</v>
      </c>
      <c r="L52" t="s">
        <v>143</v>
      </c>
      <c r="M52">
        <v>764</v>
      </c>
      <c r="N52">
        <v>1</v>
      </c>
      <c r="R52">
        <v>11.9</v>
      </c>
      <c r="S52">
        <v>1</v>
      </c>
      <c r="T52">
        <v>1.3089005235602095E-3</v>
      </c>
      <c r="U52">
        <v>0.65968586387434558</v>
      </c>
    </row>
    <row r="53" spans="1:21" x14ac:dyDescent="0.3">
      <c r="A53">
        <v>6</v>
      </c>
      <c r="B53" t="s">
        <v>24</v>
      </c>
      <c r="C53">
        <v>627</v>
      </c>
      <c r="D53" s="1">
        <v>10.4</v>
      </c>
      <c r="E53" s="1">
        <v>143.80000000000001</v>
      </c>
      <c r="F53" t="s">
        <v>24</v>
      </c>
      <c r="H53" s="25">
        <f>VLOOKUP(I53,A$2:E$765,5,FALSE)</f>
        <v>75.3</v>
      </c>
      <c r="I53">
        <v>55</v>
      </c>
      <c r="J53" t="str">
        <f>VLOOKUP(I53,A52:B816,2,FALSE)</f>
        <v>ETIEVEN</v>
      </c>
      <c r="R53">
        <v>12</v>
      </c>
      <c r="S53">
        <v>7</v>
      </c>
      <c r="T53">
        <v>9.1623036649214652E-3</v>
      </c>
      <c r="U53">
        <v>0.66884816753926701</v>
      </c>
    </row>
    <row r="54" spans="1:21" x14ac:dyDescent="0.3">
      <c r="A54">
        <v>6</v>
      </c>
      <c r="B54" t="s">
        <v>24</v>
      </c>
      <c r="C54">
        <v>691</v>
      </c>
      <c r="D54" s="1">
        <v>29.6</v>
      </c>
      <c r="E54" s="1">
        <v>143.80000000000001</v>
      </c>
      <c r="F54" t="s">
        <v>24</v>
      </c>
      <c r="H54" s="25">
        <f>VLOOKUP(I54,A$2:E$765,5,FALSE)</f>
        <v>63.9</v>
      </c>
      <c r="I54">
        <v>56</v>
      </c>
      <c r="J54" t="str">
        <f>VLOOKUP(I54,A53:B817,2,FALSE)</f>
        <v>ANSINITO</v>
      </c>
      <c r="R54">
        <v>12.1</v>
      </c>
      <c r="S54">
        <v>1</v>
      </c>
      <c r="T54">
        <v>1.3089005235602095E-3</v>
      </c>
      <c r="U54">
        <v>0.67015706806282727</v>
      </c>
    </row>
    <row r="55" spans="1:21" x14ac:dyDescent="0.3">
      <c r="A55">
        <v>6</v>
      </c>
      <c r="B55" t="s">
        <v>24</v>
      </c>
      <c r="C55">
        <v>700</v>
      </c>
      <c r="D55" s="1">
        <v>10.1</v>
      </c>
      <c r="E55" s="1">
        <v>143.80000000000001</v>
      </c>
      <c r="F55" t="s">
        <v>24</v>
      </c>
      <c r="H55" s="25">
        <f>VLOOKUP(I55,A$2:E$765,5,FALSE)</f>
        <v>39.6</v>
      </c>
      <c r="I55">
        <v>57</v>
      </c>
      <c r="J55" t="str">
        <f>VLOOKUP(I55,A54:B818,2,FALSE)</f>
        <v>FOFANA</v>
      </c>
      <c r="R55">
        <v>12.3</v>
      </c>
      <c r="S55">
        <v>4</v>
      </c>
      <c r="T55">
        <v>5.235602094240838E-3</v>
      </c>
      <c r="U55">
        <v>0.67539267015706805</v>
      </c>
    </row>
    <row r="56" spans="1:21" x14ac:dyDescent="0.3">
      <c r="A56">
        <v>6</v>
      </c>
      <c r="B56" t="s">
        <v>24</v>
      </c>
      <c r="C56">
        <v>914</v>
      </c>
      <c r="D56" s="1">
        <v>15.2</v>
      </c>
      <c r="E56" s="1">
        <v>143.80000000000001</v>
      </c>
      <c r="F56" t="s">
        <v>24</v>
      </c>
      <c r="H56" s="25">
        <f>VLOOKUP(I56,A$2:E$765,5,FALSE)</f>
        <v>32.9</v>
      </c>
      <c r="I56">
        <v>58</v>
      </c>
      <c r="J56" t="str">
        <f>VLOOKUP(I56,A55:B819,2,FALSE)</f>
        <v>NDIA</v>
      </c>
      <c r="R56">
        <v>12.5</v>
      </c>
      <c r="S56">
        <v>1</v>
      </c>
      <c r="T56">
        <v>1.3089005235602095E-3</v>
      </c>
      <c r="U56">
        <v>0.67670157068062831</v>
      </c>
    </row>
    <row r="57" spans="1:21" x14ac:dyDescent="0.3">
      <c r="A57">
        <v>6</v>
      </c>
      <c r="B57" t="s">
        <v>24</v>
      </c>
      <c r="C57">
        <v>925</v>
      </c>
      <c r="D57" s="1">
        <v>17.3</v>
      </c>
      <c r="E57" s="1">
        <v>143.80000000000001</v>
      </c>
      <c r="F57" t="s">
        <v>24</v>
      </c>
      <c r="H57" s="25">
        <f>VLOOKUP(I57,A$2:E$765,5,FALSE)</f>
        <v>55.5</v>
      </c>
      <c r="I57">
        <v>59</v>
      </c>
      <c r="J57" t="str">
        <f>VLOOKUP(I57,A56:B820,2,FALSE)</f>
        <v>COLPOMER</v>
      </c>
      <c r="R57">
        <v>12.6</v>
      </c>
      <c r="S57">
        <v>5</v>
      </c>
      <c r="T57">
        <v>6.5445026178010471E-3</v>
      </c>
      <c r="U57">
        <v>0.68324607329842935</v>
      </c>
    </row>
    <row r="58" spans="1:21" x14ac:dyDescent="0.3">
      <c r="A58">
        <v>6</v>
      </c>
      <c r="B58" t="s">
        <v>24</v>
      </c>
      <c r="C58">
        <v>973</v>
      </c>
      <c r="D58" s="1">
        <v>20</v>
      </c>
      <c r="E58" s="1">
        <v>143.80000000000001</v>
      </c>
      <c r="F58" t="s">
        <v>24</v>
      </c>
      <c r="H58" s="25">
        <f>VLOOKUP(I58,A$2:E$765,5,FALSE)</f>
        <v>37.200000000000003</v>
      </c>
      <c r="I58">
        <v>60</v>
      </c>
      <c r="J58" t="str">
        <f>VLOOKUP(I58,A57:B821,2,FALSE)</f>
        <v>MIGUILO</v>
      </c>
      <c r="R58">
        <v>12.7</v>
      </c>
      <c r="S58">
        <v>4</v>
      </c>
      <c r="T58">
        <v>5.235602094240838E-3</v>
      </c>
      <c r="U58">
        <v>0.68848167539267013</v>
      </c>
    </row>
    <row r="59" spans="1:21" x14ac:dyDescent="0.3">
      <c r="A59">
        <v>6</v>
      </c>
      <c r="B59" t="s">
        <v>24</v>
      </c>
      <c r="C59">
        <v>1027</v>
      </c>
      <c r="D59" s="1">
        <v>9.6</v>
      </c>
      <c r="E59" s="1">
        <v>143.80000000000001</v>
      </c>
      <c r="F59" t="s">
        <v>24</v>
      </c>
      <c r="H59" s="25">
        <f>VLOOKUP(I59,A$2:E$765,5,FALSE)</f>
        <v>13.9</v>
      </c>
      <c r="I59">
        <v>61</v>
      </c>
      <c r="J59" t="str">
        <f>VLOOKUP(I59,A58:B822,2,FALSE)</f>
        <v>DIAL</v>
      </c>
      <c r="R59">
        <v>12.8</v>
      </c>
      <c r="S59">
        <v>10</v>
      </c>
      <c r="T59">
        <v>1.3089005235602094E-2</v>
      </c>
      <c r="U59">
        <v>0.70157068062827221</v>
      </c>
    </row>
    <row r="60" spans="1:21" x14ac:dyDescent="0.3">
      <c r="A60">
        <v>6</v>
      </c>
      <c r="B60" t="s">
        <v>24</v>
      </c>
      <c r="C60">
        <v>1193</v>
      </c>
      <c r="D60" s="1">
        <v>5.3</v>
      </c>
      <c r="E60" s="1">
        <v>143.80000000000001</v>
      </c>
      <c r="F60" t="s">
        <v>24</v>
      </c>
      <c r="H60" s="25">
        <f>VLOOKUP(I60,A$2:E$765,5,FALSE)</f>
        <v>133.19999999999999</v>
      </c>
      <c r="I60">
        <v>62</v>
      </c>
      <c r="J60" t="str">
        <f>VLOOKUP(I60,A59:B823,2,FALSE)</f>
        <v>ABDISSACK</v>
      </c>
      <c r="R60">
        <v>12.9</v>
      </c>
      <c r="S60">
        <v>1</v>
      </c>
      <c r="T60">
        <v>1.3089005235602095E-3</v>
      </c>
      <c r="U60">
        <v>0.70287958115183247</v>
      </c>
    </row>
    <row r="61" spans="1:21" x14ac:dyDescent="0.3">
      <c r="A61">
        <v>6</v>
      </c>
      <c r="B61" t="s">
        <v>24</v>
      </c>
      <c r="C61">
        <v>1217</v>
      </c>
      <c r="D61" s="1">
        <v>5.3</v>
      </c>
      <c r="E61" s="1">
        <v>143.80000000000001</v>
      </c>
      <c r="F61" t="s">
        <v>24</v>
      </c>
      <c r="H61" s="25">
        <f>VLOOKUP(I61,A$2:E$765,5,FALSE)</f>
        <v>36.6</v>
      </c>
      <c r="I61">
        <v>63</v>
      </c>
      <c r="J61" t="str">
        <f>VLOOKUP(I61,A60:B824,2,FALSE)</f>
        <v>PROPRIOL</v>
      </c>
      <c r="R61">
        <v>13</v>
      </c>
      <c r="S61">
        <v>7</v>
      </c>
      <c r="T61">
        <v>9.1623036649214652E-3</v>
      </c>
      <c r="U61">
        <v>0.7120418848167539</v>
      </c>
    </row>
    <row r="62" spans="1:21" x14ac:dyDescent="0.3">
      <c r="A62">
        <v>6</v>
      </c>
      <c r="B62" t="s">
        <v>24</v>
      </c>
      <c r="C62">
        <v>1330</v>
      </c>
      <c r="D62" s="1">
        <v>5.3</v>
      </c>
      <c r="E62" s="1">
        <v>143.80000000000001</v>
      </c>
      <c r="F62" t="s">
        <v>24</v>
      </c>
      <c r="H62" s="25">
        <f>VLOOKUP(I62,A$2:E$765,5,FALSE)</f>
        <v>46.3</v>
      </c>
      <c r="I62">
        <v>64</v>
      </c>
      <c r="J62" t="str">
        <f>VLOOKUP(I62,A61:B825,2,FALSE)</f>
        <v>MAGNINI</v>
      </c>
      <c r="R62">
        <v>13.3</v>
      </c>
      <c r="S62">
        <v>2</v>
      </c>
      <c r="T62">
        <v>2.617801047120419E-3</v>
      </c>
      <c r="U62">
        <v>0.71465968586387429</v>
      </c>
    </row>
    <row r="63" spans="1:21" x14ac:dyDescent="0.3">
      <c r="A63">
        <v>6</v>
      </c>
      <c r="B63" t="s">
        <v>24</v>
      </c>
      <c r="C63">
        <v>1360</v>
      </c>
      <c r="D63" s="1">
        <v>8.1999999999999993</v>
      </c>
      <c r="E63" s="1">
        <v>143.80000000000001</v>
      </c>
      <c r="F63" t="s">
        <v>24</v>
      </c>
      <c r="H63" s="25">
        <f>VLOOKUP(I63,A$2:E$765,5,FALSE)</f>
        <v>11.5</v>
      </c>
      <c r="I63">
        <v>65</v>
      </c>
      <c r="J63" t="str">
        <f>VLOOKUP(I63,A62:B826,2,FALSE)</f>
        <v>HUANG</v>
      </c>
      <c r="R63">
        <v>13.4</v>
      </c>
      <c r="S63">
        <v>1</v>
      </c>
      <c r="T63">
        <v>1.3089005235602095E-3</v>
      </c>
      <c r="U63">
        <v>0.71596858638743455</v>
      </c>
    </row>
    <row r="64" spans="1:21" x14ac:dyDescent="0.3">
      <c r="A64">
        <v>6</v>
      </c>
      <c r="B64" t="s">
        <v>24</v>
      </c>
      <c r="C64">
        <v>1371</v>
      </c>
      <c r="D64" s="1">
        <v>7.5</v>
      </c>
      <c r="E64" s="1">
        <v>143.80000000000001</v>
      </c>
      <c r="F64" t="s">
        <v>24</v>
      </c>
      <c r="H64" s="25">
        <f>VLOOKUP(I64,A$2:E$765,5,FALSE)</f>
        <v>9.9</v>
      </c>
      <c r="I64">
        <v>66</v>
      </c>
      <c r="J64" t="str">
        <f>VLOOKUP(I64,A63:B827,2,FALSE)</f>
        <v>GOUNTU</v>
      </c>
      <c r="R64">
        <v>13.5</v>
      </c>
      <c r="S64">
        <v>3</v>
      </c>
      <c r="T64">
        <v>3.9267015706806281E-3</v>
      </c>
      <c r="U64">
        <v>0.71989528795811519</v>
      </c>
    </row>
    <row r="65" spans="1:21" x14ac:dyDescent="0.3">
      <c r="A65">
        <v>8</v>
      </c>
      <c r="B65" t="s">
        <v>25</v>
      </c>
      <c r="C65">
        <v>607</v>
      </c>
      <c r="D65" s="1">
        <v>5.0999999999999996</v>
      </c>
      <c r="E65" s="1">
        <v>68.7</v>
      </c>
      <c r="F65" t="s">
        <v>25</v>
      </c>
      <c r="H65" s="25">
        <f>VLOOKUP(I65,A$2:E$765,5,FALSE)</f>
        <v>109.3</v>
      </c>
      <c r="I65">
        <v>67</v>
      </c>
      <c r="J65" t="str">
        <f>VLOOKUP(I65,A64:B828,2,FALSE)</f>
        <v>AITLARBI</v>
      </c>
      <c r="R65">
        <v>13.6</v>
      </c>
      <c r="S65">
        <v>6</v>
      </c>
      <c r="T65">
        <v>7.8534031413612562E-3</v>
      </c>
      <c r="U65">
        <v>0.72774869109947649</v>
      </c>
    </row>
    <row r="66" spans="1:21" x14ac:dyDescent="0.3">
      <c r="A66">
        <v>8</v>
      </c>
      <c r="B66" t="s">
        <v>25</v>
      </c>
      <c r="C66">
        <v>694</v>
      </c>
      <c r="D66" s="1">
        <v>4.9000000000000004</v>
      </c>
      <c r="E66" s="1">
        <v>68.7</v>
      </c>
      <c r="F66" t="s">
        <v>25</v>
      </c>
      <c r="H66" s="25">
        <f>VLOOKUP(I66,A$2:E$765,5,FALSE)</f>
        <v>25.8</v>
      </c>
      <c r="I66">
        <v>68</v>
      </c>
      <c r="J66" t="str">
        <f>VLOOKUP(I66,A65:B829,2,FALSE)</f>
        <v>ARNAURY</v>
      </c>
      <c r="R66">
        <v>13.9</v>
      </c>
      <c r="S66">
        <v>6</v>
      </c>
      <c r="T66">
        <v>7.8534031413612562E-3</v>
      </c>
      <c r="U66">
        <v>0.73560209424083767</v>
      </c>
    </row>
    <row r="67" spans="1:21" x14ac:dyDescent="0.3">
      <c r="A67">
        <v>8</v>
      </c>
      <c r="B67" t="s">
        <v>25</v>
      </c>
      <c r="C67">
        <v>957</v>
      </c>
      <c r="D67" s="1">
        <v>15.9</v>
      </c>
      <c r="E67" s="1">
        <v>68.7</v>
      </c>
      <c r="F67" t="s">
        <v>25</v>
      </c>
      <c r="H67" s="25">
        <f>VLOOKUP(I67,A$2:E$765,5,FALSE)</f>
        <v>5.2</v>
      </c>
      <c r="I67">
        <v>69</v>
      </c>
      <c r="J67" t="str">
        <f>VLOOKUP(I67,A66:B830,2,FALSE)</f>
        <v>BONAGAS</v>
      </c>
      <c r="R67">
        <v>14.1</v>
      </c>
      <c r="S67">
        <v>1</v>
      </c>
      <c r="T67">
        <v>1.3089005235602095E-3</v>
      </c>
      <c r="U67">
        <v>0.73691099476439792</v>
      </c>
    </row>
    <row r="68" spans="1:21" x14ac:dyDescent="0.3">
      <c r="A68">
        <v>8</v>
      </c>
      <c r="B68" t="s">
        <v>25</v>
      </c>
      <c r="C68">
        <v>1021</v>
      </c>
      <c r="D68" s="1">
        <v>5.3</v>
      </c>
      <c r="E68" s="1">
        <v>68.7</v>
      </c>
      <c r="F68" t="s">
        <v>25</v>
      </c>
      <c r="H68" s="25">
        <f>VLOOKUP(I68,A$2:E$765,5,FALSE)</f>
        <v>11.7</v>
      </c>
      <c r="I68">
        <v>70</v>
      </c>
      <c r="J68" t="str">
        <f>VLOOKUP(I68,A67:B831,2,FALSE)</f>
        <v>FLEPY</v>
      </c>
      <c r="R68">
        <v>14.8</v>
      </c>
      <c r="S68">
        <v>9</v>
      </c>
      <c r="T68">
        <v>1.1780104712041885E-2</v>
      </c>
      <c r="U68">
        <v>0.74869109947643975</v>
      </c>
    </row>
    <row r="69" spans="1:21" x14ac:dyDescent="0.3">
      <c r="A69">
        <v>8</v>
      </c>
      <c r="B69" t="s">
        <v>25</v>
      </c>
      <c r="C69">
        <v>1237</v>
      </c>
      <c r="D69" s="1">
        <v>9.6</v>
      </c>
      <c r="E69" s="1">
        <v>68.7</v>
      </c>
      <c r="F69" t="s">
        <v>25</v>
      </c>
      <c r="H69" s="25">
        <f>VLOOKUP(I69,A$2:E$765,5,FALSE)</f>
        <v>53.1</v>
      </c>
      <c r="I69">
        <v>71</v>
      </c>
      <c r="J69" t="str">
        <f>VLOOKUP(I69,A68:B832,2,FALSE)</f>
        <v>KAROLZ</v>
      </c>
      <c r="R69">
        <v>14.9</v>
      </c>
      <c r="S69">
        <v>2</v>
      </c>
      <c r="T69">
        <v>2.617801047120419E-3</v>
      </c>
      <c r="U69">
        <v>0.75130890052356025</v>
      </c>
    </row>
    <row r="70" spans="1:21" x14ac:dyDescent="0.3">
      <c r="A70">
        <v>8</v>
      </c>
      <c r="B70" t="s">
        <v>25</v>
      </c>
      <c r="C70">
        <v>1260</v>
      </c>
      <c r="D70" s="1">
        <v>7.5</v>
      </c>
      <c r="E70" s="1">
        <v>68.7</v>
      </c>
      <c r="F70" t="s">
        <v>25</v>
      </c>
      <c r="H70" s="25">
        <f>VLOOKUP(I70,A$2:E$765,5,FALSE)</f>
        <v>77.400000000000006</v>
      </c>
      <c r="I70">
        <v>72</v>
      </c>
      <c r="J70" t="str">
        <f>VLOOKUP(I70,A69:B833,2,FALSE)</f>
        <v>MARTIN</v>
      </c>
      <c r="R70">
        <v>15</v>
      </c>
      <c r="S70">
        <v>25</v>
      </c>
      <c r="T70">
        <v>3.2722513089005235E-2</v>
      </c>
      <c r="U70">
        <v>0.78403141361256545</v>
      </c>
    </row>
    <row r="71" spans="1:21" x14ac:dyDescent="0.3">
      <c r="A71">
        <v>8</v>
      </c>
      <c r="B71" t="s">
        <v>25</v>
      </c>
      <c r="C71">
        <v>1324</v>
      </c>
      <c r="D71" s="1">
        <v>20.399999999999999</v>
      </c>
      <c r="E71" s="1">
        <v>68.7</v>
      </c>
      <c r="F71" t="s">
        <v>25</v>
      </c>
      <c r="H71" s="25">
        <f>VLOOKUP(I71,A$2:E$765,5,FALSE)</f>
        <v>39.5</v>
      </c>
      <c r="I71">
        <v>73</v>
      </c>
      <c r="J71" t="str">
        <f>VLOOKUP(I71,A70:B834,2,FALSE)</f>
        <v>ONASSIS</v>
      </c>
      <c r="R71">
        <v>15.2</v>
      </c>
      <c r="S71">
        <v>14</v>
      </c>
      <c r="T71">
        <v>1.832460732984293E-2</v>
      </c>
      <c r="U71">
        <v>0.80235602094240843</v>
      </c>
    </row>
    <row r="72" spans="1:21" x14ac:dyDescent="0.3">
      <c r="A72">
        <v>9</v>
      </c>
      <c r="B72" t="s">
        <v>26</v>
      </c>
      <c r="C72">
        <v>622</v>
      </c>
      <c r="D72" s="1">
        <v>20.6</v>
      </c>
      <c r="E72" s="1">
        <v>93.3</v>
      </c>
      <c r="F72" t="s">
        <v>26</v>
      </c>
      <c r="H72" s="25">
        <f>VLOOKUP(I72,A$2:E$765,5,FALSE)</f>
        <v>59.6</v>
      </c>
      <c r="I72">
        <v>74</v>
      </c>
      <c r="J72" t="str">
        <f>VLOOKUP(I72,A71:B835,2,FALSE)</f>
        <v>SIBELLAS</v>
      </c>
      <c r="R72">
        <v>15.3</v>
      </c>
      <c r="S72">
        <v>2</v>
      </c>
      <c r="T72">
        <v>2.617801047120419E-3</v>
      </c>
      <c r="U72">
        <v>0.80497382198952883</v>
      </c>
    </row>
    <row r="73" spans="1:21" x14ac:dyDescent="0.3">
      <c r="A73">
        <v>9</v>
      </c>
      <c r="B73" t="s">
        <v>26</v>
      </c>
      <c r="C73">
        <v>699</v>
      </c>
      <c r="D73" s="1">
        <v>7.6</v>
      </c>
      <c r="E73" s="1">
        <v>93.3</v>
      </c>
      <c r="F73" t="s">
        <v>26</v>
      </c>
      <c r="H73" s="25">
        <f>VLOOKUP(I73,A$2:E$765,5,FALSE)</f>
        <v>88.9</v>
      </c>
      <c r="I73">
        <v>75</v>
      </c>
      <c r="J73" t="str">
        <f>VLOOKUP(I73,A72:B836,2,FALSE)</f>
        <v>SONIRET</v>
      </c>
      <c r="R73">
        <v>15.4</v>
      </c>
      <c r="S73">
        <v>5</v>
      </c>
      <c r="T73">
        <v>6.5445026178010471E-3</v>
      </c>
      <c r="U73">
        <v>0.81151832460732987</v>
      </c>
    </row>
    <row r="74" spans="1:21" x14ac:dyDescent="0.3">
      <c r="A74">
        <v>9</v>
      </c>
      <c r="B74" t="s">
        <v>26</v>
      </c>
      <c r="C74">
        <v>968</v>
      </c>
      <c r="D74" s="1">
        <v>5.3</v>
      </c>
      <c r="E74" s="1">
        <v>93.3</v>
      </c>
      <c r="F74" t="s">
        <v>26</v>
      </c>
      <c r="H74" s="25">
        <f>VLOOKUP(I74,A$2:E$765,5,FALSE)</f>
        <v>44.6</v>
      </c>
      <c r="I74">
        <v>76</v>
      </c>
      <c r="J74" t="str">
        <f>VLOOKUP(I74,A73:B837,2,FALSE)</f>
        <v>AMMAR</v>
      </c>
      <c r="R74">
        <v>15.5</v>
      </c>
      <c r="S74">
        <v>4</v>
      </c>
      <c r="T74">
        <v>5.235602094240838E-3</v>
      </c>
      <c r="U74">
        <v>0.81675392670157065</v>
      </c>
    </row>
    <row r="75" spans="1:21" x14ac:dyDescent="0.3">
      <c r="A75">
        <v>9</v>
      </c>
      <c r="B75" t="s">
        <v>26</v>
      </c>
      <c r="C75">
        <v>1026</v>
      </c>
      <c r="D75" s="1">
        <v>15.2</v>
      </c>
      <c r="E75" s="1">
        <v>93.3</v>
      </c>
      <c r="F75" t="s">
        <v>26</v>
      </c>
      <c r="H75" s="25">
        <f>VLOOKUP(I75,A$2:E$765,5,FALSE)</f>
        <v>73.400000000000006</v>
      </c>
      <c r="I75">
        <v>77</v>
      </c>
      <c r="J75" t="str">
        <f>VLOOKUP(I75,A74:B838,2,FALSE)</f>
        <v>ATIEH</v>
      </c>
      <c r="R75">
        <v>15.6</v>
      </c>
      <c r="S75">
        <v>7</v>
      </c>
      <c r="T75">
        <v>9.1623036649214652E-3</v>
      </c>
      <c r="U75">
        <v>0.8259162303664922</v>
      </c>
    </row>
    <row r="76" spans="1:21" x14ac:dyDescent="0.3">
      <c r="A76">
        <v>9</v>
      </c>
      <c r="B76" t="s">
        <v>26</v>
      </c>
      <c r="C76">
        <v>1208</v>
      </c>
      <c r="D76" s="1">
        <v>21.1</v>
      </c>
      <c r="E76" s="1">
        <v>93.3</v>
      </c>
      <c r="F76" t="s">
        <v>26</v>
      </c>
      <c r="H76" s="25">
        <f>VLOOKUP(I76,A$2:E$765,5,FALSE)</f>
        <v>96.1</v>
      </c>
      <c r="I76">
        <v>78</v>
      </c>
      <c r="J76" t="str">
        <f>VLOOKUP(I76,A75:B839,2,FALSE)</f>
        <v>AYADITO</v>
      </c>
      <c r="R76">
        <v>15.7</v>
      </c>
      <c r="S76">
        <v>3</v>
      </c>
      <c r="T76">
        <v>3.9267015706806281E-3</v>
      </c>
      <c r="U76">
        <v>0.82984293193717273</v>
      </c>
    </row>
    <row r="77" spans="1:21" x14ac:dyDescent="0.3">
      <c r="A77">
        <v>9</v>
      </c>
      <c r="B77" t="s">
        <v>26</v>
      </c>
      <c r="C77">
        <v>1239</v>
      </c>
      <c r="D77" s="1">
        <v>4.8</v>
      </c>
      <c r="E77" s="1">
        <v>93.3</v>
      </c>
      <c r="F77" t="s">
        <v>26</v>
      </c>
      <c r="H77" s="25">
        <f>VLOOKUP(I77,A$2:E$765,5,FALSE)</f>
        <v>38</v>
      </c>
      <c r="I77">
        <v>79</v>
      </c>
      <c r="J77" t="str">
        <f>VLOOKUP(I77,A76:B840,2,FALSE)</f>
        <v>COPATRA</v>
      </c>
      <c r="R77">
        <v>15.9</v>
      </c>
      <c r="S77">
        <v>6</v>
      </c>
      <c r="T77">
        <v>7.8534031413612562E-3</v>
      </c>
      <c r="U77">
        <v>0.83769633507853403</v>
      </c>
    </row>
    <row r="78" spans="1:21" x14ac:dyDescent="0.3">
      <c r="A78">
        <v>9</v>
      </c>
      <c r="B78" t="s">
        <v>26</v>
      </c>
      <c r="C78">
        <v>1251</v>
      </c>
      <c r="D78" s="1">
        <v>6.8</v>
      </c>
      <c r="E78" s="1">
        <v>93.3</v>
      </c>
      <c r="F78" t="s">
        <v>26</v>
      </c>
      <c r="H78" s="25">
        <f>VLOOKUP(I78,A$2:E$765,5,FALSE)</f>
        <v>6.5</v>
      </c>
      <c r="I78">
        <v>80</v>
      </c>
      <c r="J78" t="str">
        <f>VLOOKUP(I78,A77:B841,2,FALSE)</f>
        <v>GABRIET</v>
      </c>
      <c r="R78">
        <v>16.3</v>
      </c>
      <c r="S78">
        <v>1</v>
      </c>
      <c r="T78">
        <v>1.3089005235602095E-3</v>
      </c>
      <c r="U78">
        <v>0.83900523560209428</v>
      </c>
    </row>
    <row r="79" spans="1:21" x14ac:dyDescent="0.3">
      <c r="A79">
        <v>9</v>
      </c>
      <c r="B79" t="s">
        <v>26</v>
      </c>
      <c r="C79">
        <v>1329</v>
      </c>
      <c r="D79" s="1">
        <v>4.2</v>
      </c>
      <c r="E79" s="1">
        <v>93.3</v>
      </c>
      <c r="F79" t="s">
        <v>26</v>
      </c>
      <c r="H79" s="25">
        <f>VLOOKUP(I79,A$2:E$765,5,FALSE)</f>
        <v>46.6</v>
      </c>
      <c r="I79">
        <v>81</v>
      </c>
      <c r="J79" t="str">
        <f>VLOOKUP(I79,A78:B842,2,FALSE)</f>
        <v>GREFFA</v>
      </c>
      <c r="R79">
        <v>16.399999999999999</v>
      </c>
      <c r="S79">
        <v>1</v>
      </c>
      <c r="T79">
        <v>1.3089005235602095E-3</v>
      </c>
      <c r="U79">
        <v>0.84031413612565442</v>
      </c>
    </row>
    <row r="80" spans="1:21" x14ac:dyDescent="0.3">
      <c r="A80">
        <v>9</v>
      </c>
      <c r="B80" t="s">
        <v>26</v>
      </c>
      <c r="C80">
        <v>1351</v>
      </c>
      <c r="D80" s="1">
        <v>7.7</v>
      </c>
      <c r="E80" s="1">
        <v>93.3</v>
      </c>
      <c r="F80" t="s">
        <v>26</v>
      </c>
      <c r="H80" s="25">
        <f>VLOOKUP(I80,A$2:E$765,5,FALSE)</f>
        <v>156</v>
      </c>
      <c r="I80">
        <v>82</v>
      </c>
      <c r="J80" t="str">
        <f>VLOOKUP(I80,A79:B843,2,FALSE)</f>
        <v>HAMRA</v>
      </c>
      <c r="R80">
        <v>16.8</v>
      </c>
      <c r="S80">
        <v>1</v>
      </c>
      <c r="T80">
        <v>1.3089005235602095E-3</v>
      </c>
      <c r="U80">
        <v>0.84162303664921467</v>
      </c>
    </row>
    <row r="81" spans="1:21" x14ac:dyDescent="0.3">
      <c r="A81">
        <v>10</v>
      </c>
      <c r="B81" t="s">
        <v>27</v>
      </c>
      <c r="C81">
        <v>603</v>
      </c>
      <c r="D81" s="1">
        <v>15</v>
      </c>
      <c r="E81" s="1">
        <v>82.2</v>
      </c>
      <c r="F81" t="s">
        <v>27</v>
      </c>
      <c r="H81" s="25">
        <f>VLOOKUP(I81,A$2:E$765,5,FALSE)</f>
        <v>31.6</v>
      </c>
      <c r="I81">
        <v>83</v>
      </c>
      <c r="J81" t="str">
        <f>VLOOKUP(I81,A80:B844,2,FALSE)</f>
        <v>KAISER</v>
      </c>
      <c r="R81">
        <v>17.100000000000001</v>
      </c>
      <c r="S81">
        <v>4</v>
      </c>
      <c r="T81">
        <v>5.235602094240838E-3</v>
      </c>
      <c r="U81">
        <v>0.84685863874345546</v>
      </c>
    </row>
    <row r="82" spans="1:21" x14ac:dyDescent="0.3">
      <c r="A82">
        <v>10</v>
      </c>
      <c r="B82" t="s">
        <v>27</v>
      </c>
      <c r="C82">
        <v>727</v>
      </c>
      <c r="D82" s="1">
        <v>5.2</v>
      </c>
      <c r="E82" s="1">
        <v>82.2</v>
      </c>
      <c r="F82" t="s">
        <v>27</v>
      </c>
      <c r="H82" s="25">
        <f>VLOOKUP(I82,A$2:E$765,5,FALSE)</f>
        <v>10.1</v>
      </c>
      <c r="I82">
        <v>84</v>
      </c>
      <c r="J82" t="str">
        <f>VLOOKUP(I82,A81:B845,2,FALSE)</f>
        <v>KELLER</v>
      </c>
      <c r="R82">
        <v>17.2</v>
      </c>
      <c r="S82">
        <v>1</v>
      </c>
      <c r="T82">
        <v>1.3089005235602095E-3</v>
      </c>
      <c r="U82">
        <v>0.84816753926701571</v>
      </c>
    </row>
    <row r="83" spans="1:21" x14ac:dyDescent="0.3">
      <c r="A83">
        <v>10</v>
      </c>
      <c r="B83" t="s">
        <v>27</v>
      </c>
      <c r="C83">
        <v>888</v>
      </c>
      <c r="D83" s="1">
        <v>10.6</v>
      </c>
      <c r="E83" s="1">
        <v>82.2</v>
      </c>
      <c r="F83" t="s">
        <v>27</v>
      </c>
      <c r="H83" s="25">
        <f>VLOOKUP(I83,A$2:E$765,5,FALSE)</f>
        <v>30.5</v>
      </c>
      <c r="I83">
        <v>85</v>
      </c>
      <c r="J83" t="str">
        <f>VLOOKUP(I83,A82:B846,2,FALSE)</f>
        <v>KONATO</v>
      </c>
      <c r="R83">
        <v>17.3</v>
      </c>
      <c r="S83">
        <v>4</v>
      </c>
      <c r="T83">
        <v>5.235602094240838E-3</v>
      </c>
      <c r="U83">
        <v>0.8534031413612565</v>
      </c>
    </row>
    <row r="84" spans="1:21" x14ac:dyDescent="0.3">
      <c r="A84">
        <v>10</v>
      </c>
      <c r="B84" t="s">
        <v>27</v>
      </c>
      <c r="C84">
        <v>926</v>
      </c>
      <c r="D84" s="1">
        <v>10.199999999999999</v>
      </c>
      <c r="E84" s="1">
        <v>82.2</v>
      </c>
      <c r="F84" t="s">
        <v>27</v>
      </c>
      <c r="H84" s="25">
        <f>VLOOKUP(I84,A$2:E$765,5,FALSE)</f>
        <v>7.4</v>
      </c>
      <c r="I84">
        <v>86</v>
      </c>
      <c r="J84" t="str">
        <f>VLOOKUP(I84,A83:B847,2,FALSE)</f>
        <v>CHEMIA</v>
      </c>
      <c r="R84">
        <v>17.600000000000001</v>
      </c>
      <c r="S84">
        <v>1</v>
      </c>
      <c r="T84">
        <v>1.3089005235602095E-3</v>
      </c>
      <c r="U84">
        <v>0.85471204188481675</v>
      </c>
    </row>
    <row r="85" spans="1:21" x14ac:dyDescent="0.3">
      <c r="A85">
        <v>10</v>
      </c>
      <c r="B85" t="s">
        <v>27</v>
      </c>
      <c r="C85">
        <v>933</v>
      </c>
      <c r="D85" s="1">
        <v>7.7</v>
      </c>
      <c r="E85" s="1">
        <v>82.2</v>
      </c>
      <c r="F85" t="s">
        <v>27</v>
      </c>
      <c r="H85" s="25">
        <f>VLOOKUP(I85,A$2:E$765,5,FALSE)</f>
        <v>43</v>
      </c>
      <c r="I85">
        <v>87</v>
      </c>
      <c r="J85" t="str">
        <f>VLOOKUP(I85,A84:B848,2,FALSE)</f>
        <v>LENGI</v>
      </c>
      <c r="R85">
        <v>17.7</v>
      </c>
      <c r="S85">
        <v>1</v>
      </c>
      <c r="T85">
        <v>1.3089005235602095E-3</v>
      </c>
      <c r="U85">
        <v>0.85602094240837701</v>
      </c>
    </row>
    <row r="86" spans="1:21" x14ac:dyDescent="0.3">
      <c r="A86">
        <v>10</v>
      </c>
      <c r="B86" t="s">
        <v>27</v>
      </c>
      <c r="C86">
        <v>1047</v>
      </c>
      <c r="D86" s="1">
        <v>10.4</v>
      </c>
      <c r="E86" s="1">
        <v>82.2</v>
      </c>
      <c r="F86" t="s">
        <v>27</v>
      </c>
      <c r="H86" s="25">
        <f>VLOOKUP(I86,A$2:E$765,5,FALSE)</f>
        <v>37.9</v>
      </c>
      <c r="I86">
        <v>88</v>
      </c>
      <c r="J86" t="str">
        <f>VLOOKUP(I86,A85:B849,2,FALSE)</f>
        <v>LI</v>
      </c>
      <c r="R86">
        <v>17.8</v>
      </c>
      <c r="S86">
        <v>3</v>
      </c>
      <c r="T86">
        <v>3.9267015706806281E-3</v>
      </c>
      <c r="U86">
        <v>0.85994764397905754</v>
      </c>
    </row>
    <row r="87" spans="1:21" x14ac:dyDescent="0.3">
      <c r="A87">
        <v>10</v>
      </c>
      <c r="B87" t="s">
        <v>27</v>
      </c>
      <c r="C87">
        <v>1153</v>
      </c>
      <c r="D87" s="1">
        <v>4.2</v>
      </c>
      <c r="E87" s="1">
        <v>82.2</v>
      </c>
      <c r="F87" t="s">
        <v>27</v>
      </c>
      <c r="H87" s="25">
        <f>VLOOKUP(I87,A$2:E$765,5,FALSE)</f>
        <v>4.9000000000000004</v>
      </c>
      <c r="I87">
        <v>89</v>
      </c>
      <c r="J87" t="str">
        <f>VLOOKUP(I87,A86:B850,2,FALSE)</f>
        <v>MEERS</v>
      </c>
      <c r="R87">
        <v>17.899999999999999</v>
      </c>
      <c r="S87">
        <v>2</v>
      </c>
      <c r="T87">
        <v>2.617801047120419E-3</v>
      </c>
      <c r="U87">
        <v>0.86256544502617805</v>
      </c>
    </row>
    <row r="88" spans="1:21" x14ac:dyDescent="0.3">
      <c r="A88">
        <v>10</v>
      </c>
      <c r="B88" t="s">
        <v>27</v>
      </c>
      <c r="C88">
        <v>1229</v>
      </c>
      <c r="D88" s="1">
        <v>9.6</v>
      </c>
      <c r="E88" s="1">
        <v>82.2</v>
      </c>
      <c r="F88" t="s">
        <v>27</v>
      </c>
      <c r="H88" s="25">
        <f>VLOOKUP(I88,A$2:E$765,5,FALSE)</f>
        <v>31.8</v>
      </c>
      <c r="I88">
        <v>90</v>
      </c>
      <c r="J88" t="str">
        <f>VLOOKUP(I88,A87:B851,2,FALSE)</f>
        <v>MIRILO</v>
      </c>
      <c r="R88">
        <v>18</v>
      </c>
      <c r="S88">
        <v>1</v>
      </c>
      <c r="T88">
        <v>1.3089005235602095E-3</v>
      </c>
      <c r="U88">
        <v>0.86387434554973819</v>
      </c>
    </row>
    <row r="89" spans="1:21" x14ac:dyDescent="0.3">
      <c r="A89">
        <v>10</v>
      </c>
      <c r="B89" t="s">
        <v>27</v>
      </c>
      <c r="C89">
        <v>1236</v>
      </c>
      <c r="D89" s="1">
        <v>4.0999999999999996</v>
      </c>
      <c r="E89" s="1">
        <v>82.2</v>
      </c>
      <c r="F89" t="s">
        <v>27</v>
      </c>
      <c r="H89" s="25">
        <f>VLOOKUP(I89,A$2:E$765,5,FALSE)</f>
        <v>39.9</v>
      </c>
      <c r="I89">
        <v>91</v>
      </c>
      <c r="J89" t="str">
        <f>VLOOKUP(I89,A88:B852,2,FALSE)</f>
        <v>DESSELAM</v>
      </c>
      <c r="R89">
        <v>18.100000000000001</v>
      </c>
      <c r="S89">
        <v>4</v>
      </c>
      <c r="T89">
        <v>5.235602094240838E-3</v>
      </c>
      <c r="U89">
        <v>0.86910994764397909</v>
      </c>
    </row>
    <row r="90" spans="1:21" x14ac:dyDescent="0.3">
      <c r="A90">
        <v>10</v>
      </c>
      <c r="B90" t="s">
        <v>27</v>
      </c>
      <c r="C90">
        <v>1372</v>
      </c>
      <c r="D90" s="1">
        <v>5.2</v>
      </c>
      <c r="E90" s="1">
        <v>82.2</v>
      </c>
      <c r="F90" t="s">
        <v>27</v>
      </c>
      <c r="H90" s="25">
        <f>VLOOKUP(I90,A$2:E$765,5,FALSE)</f>
        <v>39.9</v>
      </c>
      <c r="I90">
        <v>92</v>
      </c>
      <c r="J90" t="str">
        <f>VLOOKUP(I90,A89:B853,2,FALSE)</f>
        <v>PACET</v>
      </c>
      <c r="R90">
        <v>18.2</v>
      </c>
      <c r="S90">
        <v>2</v>
      </c>
      <c r="T90">
        <v>2.617801047120419E-3</v>
      </c>
      <c r="U90">
        <v>0.87172774869109948</v>
      </c>
    </row>
    <row r="91" spans="1:21" x14ac:dyDescent="0.3">
      <c r="A91">
        <v>11</v>
      </c>
      <c r="B91" t="s">
        <v>28</v>
      </c>
      <c r="C91">
        <v>585</v>
      </c>
      <c r="D91" s="1">
        <v>10.4</v>
      </c>
      <c r="E91" s="1">
        <v>51.9</v>
      </c>
      <c r="F91" t="s">
        <v>28</v>
      </c>
      <c r="H91" s="25">
        <f>VLOOKUP(I91,A$2:E$765,5,FALSE)</f>
        <v>33.4</v>
      </c>
      <c r="I91">
        <v>93</v>
      </c>
      <c r="J91" t="str">
        <f>VLOOKUP(I91,A90:B854,2,FALSE)</f>
        <v>CERTESSEL</v>
      </c>
      <c r="R91">
        <v>18.3</v>
      </c>
      <c r="S91">
        <v>1</v>
      </c>
      <c r="T91">
        <v>1.3089005235602095E-3</v>
      </c>
      <c r="U91">
        <v>0.87303664921465973</v>
      </c>
    </row>
    <row r="92" spans="1:21" x14ac:dyDescent="0.3">
      <c r="A92">
        <v>11</v>
      </c>
      <c r="B92" t="s">
        <v>28</v>
      </c>
      <c r="C92">
        <v>887</v>
      </c>
      <c r="D92" s="1">
        <v>15.9</v>
      </c>
      <c r="E92" s="1">
        <v>51.9</v>
      </c>
      <c r="F92" t="s">
        <v>28</v>
      </c>
      <c r="H92" s="25">
        <f>VLOOKUP(I92,A$2:E$765,5,FALSE)</f>
        <v>24.5</v>
      </c>
      <c r="I92">
        <v>94</v>
      </c>
      <c r="J92" t="str">
        <f>VLOOKUP(I92,A91:B855,2,FALSE)</f>
        <v>MARTIN</v>
      </c>
      <c r="R92">
        <v>18.399999999999999</v>
      </c>
      <c r="S92">
        <v>1</v>
      </c>
      <c r="T92">
        <v>1.3089005235602095E-3</v>
      </c>
      <c r="U92">
        <v>0.87434554973821987</v>
      </c>
    </row>
    <row r="93" spans="1:21" x14ac:dyDescent="0.3">
      <c r="A93">
        <v>11</v>
      </c>
      <c r="B93" t="s">
        <v>28</v>
      </c>
      <c r="C93">
        <v>1152</v>
      </c>
      <c r="D93" s="1">
        <v>5.3</v>
      </c>
      <c r="E93" s="1">
        <v>51.9</v>
      </c>
      <c r="F93" t="s">
        <v>28</v>
      </c>
      <c r="H93" s="25">
        <f>VLOOKUP(I93,A$2:E$765,5,FALSE)</f>
        <v>32.1</v>
      </c>
      <c r="I93">
        <v>95</v>
      </c>
      <c r="J93" t="str">
        <f>VLOOKUP(I93,A92:B856,2,FALSE)</f>
        <v>MAGNINI</v>
      </c>
      <c r="R93">
        <v>18.7</v>
      </c>
      <c r="S93">
        <v>5</v>
      </c>
      <c r="T93">
        <v>6.5445026178010471E-3</v>
      </c>
      <c r="U93">
        <v>0.88089005235602091</v>
      </c>
    </row>
    <row r="94" spans="1:21" x14ac:dyDescent="0.3">
      <c r="A94">
        <v>11</v>
      </c>
      <c r="B94" t="s">
        <v>28</v>
      </c>
      <c r="C94">
        <v>1390</v>
      </c>
      <c r="D94" s="1">
        <v>20.3</v>
      </c>
      <c r="E94" s="1">
        <v>51.9</v>
      </c>
      <c r="F94" t="s">
        <v>28</v>
      </c>
      <c r="H94" s="25">
        <f>VLOOKUP(I94,A$2:E$765,5,FALSE)</f>
        <v>59</v>
      </c>
      <c r="I94">
        <v>96</v>
      </c>
      <c r="J94" t="str">
        <f>VLOOKUP(I94,A93:B857,2,FALSE)</f>
        <v>MARTIN</v>
      </c>
      <c r="R94">
        <v>18.8</v>
      </c>
      <c r="S94">
        <v>1</v>
      </c>
      <c r="T94">
        <v>1.3089005235602095E-3</v>
      </c>
      <c r="U94">
        <v>0.88219895287958117</v>
      </c>
    </row>
    <row r="95" spans="1:21" x14ac:dyDescent="0.3">
      <c r="A95">
        <v>12</v>
      </c>
      <c r="B95" t="s">
        <v>22</v>
      </c>
      <c r="C95">
        <v>592</v>
      </c>
      <c r="D95" s="1">
        <v>4.9000000000000004</v>
      </c>
      <c r="E95" s="1">
        <v>202.7</v>
      </c>
      <c r="F95" t="s">
        <v>22</v>
      </c>
      <c r="H95" s="25">
        <f>VLOOKUP(I95,A$2:E$765,5,FALSE)</f>
        <v>34.799999999999997</v>
      </c>
      <c r="I95">
        <v>97</v>
      </c>
      <c r="J95" t="str">
        <f>VLOOKUP(I95,A94:B858,2,FALSE)</f>
        <v>AMMAR</v>
      </c>
      <c r="R95">
        <v>18.899999999999999</v>
      </c>
      <c r="S95">
        <v>2</v>
      </c>
      <c r="T95">
        <v>2.617801047120419E-3</v>
      </c>
      <c r="U95">
        <v>0.88481675392670156</v>
      </c>
    </row>
    <row r="96" spans="1:21" x14ac:dyDescent="0.3">
      <c r="A96">
        <v>12</v>
      </c>
      <c r="B96" t="s">
        <v>22</v>
      </c>
      <c r="C96">
        <v>605</v>
      </c>
      <c r="D96" s="1">
        <v>14.8</v>
      </c>
      <c r="E96" s="1">
        <v>202.7</v>
      </c>
      <c r="F96" t="s">
        <v>22</v>
      </c>
      <c r="H96" s="25">
        <f>VLOOKUP(I96,A$2:E$765,5,FALSE)</f>
        <v>108.8</v>
      </c>
      <c r="I96">
        <v>98</v>
      </c>
      <c r="J96" t="str">
        <f>VLOOKUP(I96,A95:B859,2,FALSE)</f>
        <v>KAISER</v>
      </c>
      <c r="R96">
        <v>19.100000000000001</v>
      </c>
      <c r="S96">
        <v>1</v>
      </c>
      <c r="T96">
        <v>1.3089005235602095E-3</v>
      </c>
      <c r="U96">
        <v>0.88612565445026181</v>
      </c>
    </row>
    <row r="97" spans="1:21" x14ac:dyDescent="0.3">
      <c r="A97">
        <v>12</v>
      </c>
      <c r="B97" t="s">
        <v>22</v>
      </c>
      <c r="C97">
        <v>737</v>
      </c>
      <c r="D97" s="1">
        <v>69.2</v>
      </c>
      <c r="E97" s="1">
        <v>202.7</v>
      </c>
      <c r="F97" t="s">
        <v>22</v>
      </c>
      <c r="H97" s="25">
        <f>VLOOKUP(I97,A$2:E$765,5,FALSE)</f>
        <v>197.2</v>
      </c>
      <c r="I97">
        <v>99</v>
      </c>
      <c r="J97" t="str">
        <f>VLOOKUP(I97,A96:B860,2,FALSE)</f>
        <v>LENGI</v>
      </c>
      <c r="R97">
        <v>19.2</v>
      </c>
      <c r="S97">
        <v>3</v>
      </c>
      <c r="T97">
        <v>3.9267015706806281E-3</v>
      </c>
      <c r="U97">
        <v>0.89005235602094246</v>
      </c>
    </row>
    <row r="98" spans="1:21" x14ac:dyDescent="0.3">
      <c r="A98">
        <v>12</v>
      </c>
      <c r="B98" t="s">
        <v>22</v>
      </c>
      <c r="C98">
        <v>893</v>
      </c>
      <c r="D98" s="1">
        <v>7.5</v>
      </c>
      <c r="E98" s="1">
        <v>202.7</v>
      </c>
      <c r="F98" t="s">
        <v>22</v>
      </c>
      <c r="H98" s="25">
        <f>VLOOKUP(I98,A$2:E$765,5,FALSE)</f>
        <v>110.9</v>
      </c>
      <c r="I98">
        <v>100</v>
      </c>
      <c r="J98" t="str">
        <f>VLOOKUP(I98,A97:B861,2,FALSE)</f>
        <v>LAGOUAR</v>
      </c>
      <c r="R98">
        <v>19.5</v>
      </c>
      <c r="S98">
        <v>2</v>
      </c>
      <c r="T98">
        <v>2.617801047120419E-3</v>
      </c>
      <c r="U98">
        <v>0.89267015706806285</v>
      </c>
    </row>
    <row r="99" spans="1:21" x14ac:dyDescent="0.3">
      <c r="A99">
        <v>12</v>
      </c>
      <c r="B99" t="s">
        <v>22</v>
      </c>
      <c r="C99">
        <v>930</v>
      </c>
      <c r="D99" s="1">
        <v>21</v>
      </c>
      <c r="E99" s="1">
        <v>202.7</v>
      </c>
      <c r="F99" t="s">
        <v>22</v>
      </c>
      <c r="H99" s="25">
        <f>VLOOKUP(I99,A$2:E$765,5,FALSE)</f>
        <v>87.9</v>
      </c>
      <c r="I99">
        <v>101</v>
      </c>
      <c r="J99" t="str">
        <f>VLOOKUP(I99,A98:B862,2,FALSE)</f>
        <v>AMINI</v>
      </c>
      <c r="R99">
        <v>19.8</v>
      </c>
      <c r="S99">
        <v>3</v>
      </c>
      <c r="T99">
        <v>3.9267015706806281E-3</v>
      </c>
      <c r="U99">
        <v>0.8965968586387435</v>
      </c>
    </row>
    <row r="100" spans="1:21" x14ac:dyDescent="0.3">
      <c r="A100">
        <v>12</v>
      </c>
      <c r="B100" t="s">
        <v>22</v>
      </c>
      <c r="C100">
        <v>945</v>
      </c>
      <c r="D100" s="1">
        <v>12.5</v>
      </c>
      <c r="E100" s="1">
        <v>202.7</v>
      </c>
      <c r="F100" t="s">
        <v>22</v>
      </c>
      <c r="H100" s="25">
        <f>VLOOKUP(I100,A$2:E$765,5,FALSE)</f>
        <v>47</v>
      </c>
      <c r="I100">
        <v>102</v>
      </c>
      <c r="J100" t="str">
        <f>VLOOKUP(I100,A99:B863,2,FALSE)</f>
        <v>MAC AVLEY</v>
      </c>
      <c r="R100">
        <v>20</v>
      </c>
      <c r="S100">
        <v>3</v>
      </c>
      <c r="T100">
        <v>3.9267015706806281E-3</v>
      </c>
      <c r="U100">
        <v>0.90052356020942403</v>
      </c>
    </row>
    <row r="101" spans="1:21" x14ac:dyDescent="0.3">
      <c r="A101">
        <v>12</v>
      </c>
      <c r="B101" t="s">
        <v>22</v>
      </c>
      <c r="C101">
        <v>1052</v>
      </c>
      <c r="D101" s="1">
        <v>14.9</v>
      </c>
      <c r="E101" s="1">
        <v>202.7</v>
      </c>
      <c r="F101" t="s">
        <v>22</v>
      </c>
      <c r="H101" s="25">
        <f>VLOOKUP(I101,A$2:E$765,5,FALSE)</f>
        <v>36.5</v>
      </c>
      <c r="I101">
        <v>103</v>
      </c>
      <c r="J101" t="str">
        <f>VLOOKUP(I101,A100:B864,2,FALSE)</f>
        <v>LAGOUAR</v>
      </c>
      <c r="R101">
        <v>20.100000000000001</v>
      </c>
      <c r="S101">
        <v>1</v>
      </c>
      <c r="T101">
        <v>1.3089005235602095E-3</v>
      </c>
      <c r="U101">
        <v>0.90183246073298429</v>
      </c>
    </row>
    <row r="102" spans="1:21" x14ac:dyDescent="0.3">
      <c r="A102">
        <v>12</v>
      </c>
      <c r="B102" t="s">
        <v>22</v>
      </c>
      <c r="C102">
        <v>1158</v>
      </c>
      <c r="D102" s="1">
        <v>10.4</v>
      </c>
      <c r="E102" s="1">
        <v>202.7</v>
      </c>
      <c r="F102" t="s">
        <v>22</v>
      </c>
      <c r="H102" s="25">
        <f>VLOOKUP(I102,A$2:E$765,5,FALSE)</f>
        <v>15.6</v>
      </c>
      <c r="I102">
        <v>104</v>
      </c>
      <c r="J102" t="str">
        <f>VLOOKUP(I102,A101:B865,2,FALSE)</f>
        <v>AMINI</v>
      </c>
      <c r="R102">
        <v>20.2</v>
      </c>
      <c r="S102">
        <v>1</v>
      </c>
      <c r="T102">
        <v>1.3089005235602095E-3</v>
      </c>
      <c r="U102">
        <v>0.90314136125654454</v>
      </c>
    </row>
    <row r="103" spans="1:21" x14ac:dyDescent="0.3">
      <c r="A103">
        <v>12</v>
      </c>
      <c r="B103" t="s">
        <v>22</v>
      </c>
      <c r="C103">
        <v>1233</v>
      </c>
      <c r="D103" s="1">
        <v>10.5</v>
      </c>
      <c r="E103" s="1">
        <v>202.7</v>
      </c>
      <c r="F103" t="s">
        <v>22</v>
      </c>
      <c r="H103" s="25">
        <f>VLOOKUP(I103,A$2:E$765,5,FALSE)</f>
        <v>46.1</v>
      </c>
      <c r="I103">
        <v>105</v>
      </c>
      <c r="J103" t="str">
        <f>VLOOKUP(I103,A102:B866,2,FALSE)</f>
        <v>MAC AVLEY</v>
      </c>
      <c r="R103">
        <v>20.3</v>
      </c>
      <c r="S103">
        <v>2</v>
      </c>
      <c r="T103">
        <v>2.617801047120419E-3</v>
      </c>
      <c r="U103">
        <v>0.90575916230366493</v>
      </c>
    </row>
    <row r="104" spans="1:21" x14ac:dyDescent="0.3">
      <c r="A104">
        <v>12</v>
      </c>
      <c r="B104" t="s">
        <v>22</v>
      </c>
      <c r="C104">
        <v>1258</v>
      </c>
      <c r="D104" s="1">
        <v>5.3</v>
      </c>
      <c r="E104" s="1">
        <v>202.7</v>
      </c>
      <c r="F104" t="s">
        <v>22</v>
      </c>
      <c r="H104" s="25">
        <f>VLOOKUP(I104,A$2:E$765,5,FALSE)</f>
        <v>35.700000000000003</v>
      </c>
      <c r="I104">
        <v>106</v>
      </c>
      <c r="J104" t="str">
        <f>VLOOKUP(I104,A103:B867,2,FALSE)</f>
        <v>MARTINI</v>
      </c>
      <c r="R104">
        <v>20.399999999999999</v>
      </c>
      <c r="S104">
        <v>6</v>
      </c>
      <c r="T104">
        <v>7.8534031413612562E-3</v>
      </c>
      <c r="U104">
        <v>0.91361256544502623</v>
      </c>
    </row>
    <row r="105" spans="1:21" x14ac:dyDescent="0.3">
      <c r="A105">
        <v>12</v>
      </c>
      <c r="B105" t="s">
        <v>22</v>
      </c>
      <c r="C105">
        <v>1358</v>
      </c>
      <c r="D105" s="1">
        <v>7.5</v>
      </c>
      <c r="E105" s="1">
        <v>202.7</v>
      </c>
      <c r="F105" t="s">
        <v>22</v>
      </c>
      <c r="H105" s="25">
        <f>VLOOKUP(I105,A$2:E$765,5,FALSE)</f>
        <v>84.6</v>
      </c>
      <c r="I105">
        <v>107</v>
      </c>
      <c r="J105" t="str">
        <f>VLOOKUP(I105,A104:B868,2,FALSE)</f>
        <v>PLOUET</v>
      </c>
      <c r="R105">
        <v>20.5</v>
      </c>
      <c r="S105">
        <v>3</v>
      </c>
      <c r="T105">
        <v>3.9267015706806281E-3</v>
      </c>
      <c r="U105">
        <v>0.91753926701570676</v>
      </c>
    </row>
    <row r="106" spans="1:21" x14ac:dyDescent="0.3">
      <c r="A106">
        <v>12</v>
      </c>
      <c r="B106" t="s">
        <v>22</v>
      </c>
      <c r="C106">
        <v>1374</v>
      </c>
      <c r="D106" s="1">
        <v>18.899999999999999</v>
      </c>
      <c r="E106" s="1">
        <v>202.7</v>
      </c>
      <c r="F106" t="s">
        <v>22</v>
      </c>
      <c r="H106" s="25">
        <f>VLOOKUP(I106,A$2:E$765,5,FALSE)</f>
        <v>77.900000000000006</v>
      </c>
      <c r="I106">
        <v>108</v>
      </c>
      <c r="J106" t="str">
        <f>VLOOKUP(I106,A105:B869,2,FALSE)</f>
        <v>URTADO</v>
      </c>
      <c r="R106">
        <v>20.6</v>
      </c>
      <c r="S106">
        <v>2</v>
      </c>
      <c r="T106">
        <v>2.617801047120419E-3</v>
      </c>
      <c r="U106">
        <v>0.92015706806282727</v>
      </c>
    </row>
    <row r="107" spans="1:21" x14ac:dyDescent="0.3">
      <c r="A107">
        <v>12</v>
      </c>
      <c r="B107" t="s">
        <v>22</v>
      </c>
      <c r="C107">
        <v>1394</v>
      </c>
      <c r="D107" s="1">
        <v>5.3</v>
      </c>
      <c r="E107" s="1">
        <v>202.7</v>
      </c>
      <c r="F107" t="s">
        <v>22</v>
      </c>
      <c r="H107" s="25">
        <f>VLOOKUP(I107,A$2:E$765,5,FALSE)</f>
        <v>21</v>
      </c>
      <c r="I107">
        <v>109</v>
      </c>
      <c r="J107" t="str">
        <f>VLOOKUP(I107,A106:B870,2,FALSE)</f>
        <v>KILMAN</v>
      </c>
      <c r="R107">
        <v>21</v>
      </c>
      <c r="S107">
        <v>1</v>
      </c>
      <c r="T107">
        <v>1.3089005235602095E-3</v>
      </c>
      <c r="U107">
        <v>0.92146596858638741</v>
      </c>
    </row>
    <row r="108" spans="1:21" x14ac:dyDescent="0.3">
      <c r="A108">
        <v>13</v>
      </c>
      <c r="B108" t="s">
        <v>29</v>
      </c>
      <c r="C108">
        <v>628</v>
      </c>
      <c r="D108" s="1">
        <v>5.2</v>
      </c>
      <c r="E108" s="1">
        <v>178.7</v>
      </c>
      <c r="F108" t="s">
        <v>29</v>
      </c>
      <c r="H108" s="25">
        <f>VLOOKUP(I108,A$2:E$765,5,FALSE)</f>
        <v>27.2</v>
      </c>
      <c r="I108">
        <v>110</v>
      </c>
      <c r="J108" t="str">
        <f>VLOOKUP(I108,A107:B871,2,FALSE)</f>
        <v>MANUOL</v>
      </c>
      <c r="R108">
        <v>21.1</v>
      </c>
      <c r="S108">
        <v>1</v>
      </c>
      <c r="T108">
        <v>1.3089005235602095E-3</v>
      </c>
      <c r="U108">
        <v>0.92277486910994766</v>
      </c>
    </row>
    <row r="109" spans="1:21" x14ac:dyDescent="0.3">
      <c r="A109">
        <v>13</v>
      </c>
      <c r="B109" t="s">
        <v>29</v>
      </c>
      <c r="C109">
        <v>696</v>
      </c>
      <c r="D109" s="1">
        <v>15</v>
      </c>
      <c r="E109" s="1">
        <v>178.7</v>
      </c>
      <c r="F109" t="s">
        <v>29</v>
      </c>
      <c r="H109" s="25">
        <f>VLOOKUP(I109,A$2:E$765,5,FALSE)</f>
        <v>69.2</v>
      </c>
      <c r="I109">
        <v>111</v>
      </c>
      <c r="J109" t="str">
        <f>VLOOKUP(I109,A108:B872,2,FALSE)</f>
        <v>GRANFIL</v>
      </c>
      <c r="R109">
        <v>21.2</v>
      </c>
      <c r="S109">
        <v>2</v>
      </c>
      <c r="T109">
        <v>2.617801047120419E-3</v>
      </c>
      <c r="U109">
        <v>0.92539267015706805</v>
      </c>
    </row>
    <row r="110" spans="1:21" x14ac:dyDescent="0.3">
      <c r="A110">
        <v>13</v>
      </c>
      <c r="B110" t="s">
        <v>29</v>
      </c>
      <c r="C110">
        <v>705</v>
      </c>
      <c r="D110" s="1">
        <v>13</v>
      </c>
      <c r="E110" s="1">
        <v>178.7</v>
      </c>
      <c r="F110" t="s">
        <v>29</v>
      </c>
      <c r="H110" s="25">
        <f>VLOOKUP(I110,A$2:E$765,5,FALSE)</f>
        <v>18</v>
      </c>
      <c r="I110">
        <v>112</v>
      </c>
      <c r="J110" t="str">
        <f>VLOOKUP(I110,A109:B873,2,FALSE)</f>
        <v>DUTRONC</v>
      </c>
      <c r="R110">
        <v>21.7</v>
      </c>
      <c r="S110">
        <v>2</v>
      </c>
      <c r="T110">
        <v>2.617801047120419E-3</v>
      </c>
      <c r="U110">
        <v>0.92801047120418845</v>
      </c>
    </row>
    <row r="111" spans="1:21" x14ac:dyDescent="0.3">
      <c r="A111">
        <v>13</v>
      </c>
      <c r="B111" t="s">
        <v>29</v>
      </c>
      <c r="C111">
        <v>773</v>
      </c>
      <c r="D111" s="1">
        <v>9.4</v>
      </c>
      <c r="E111" s="1">
        <v>178.7</v>
      </c>
      <c r="F111" t="s">
        <v>29</v>
      </c>
      <c r="H111" s="25">
        <f>VLOOKUP(I111,A$2:E$765,5,FALSE)</f>
        <v>71.5</v>
      </c>
      <c r="I111">
        <v>113</v>
      </c>
      <c r="J111" t="str">
        <f>VLOOKUP(I111,A110:B874,2,FALSE)</f>
        <v>CASERO</v>
      </c>
      <c r="R111">
        <v>21.9</v>
      </c>
      <c r="S111">
        <v>1</v>
      </c>
      <c r="T111">
        <v>1.3089005235602095E-3</v>
      </c>
      <c r="U111">
        <v>0.9293193717277487</v>
      </c>
    </row>
    <row r="112" spans="1:21" x14ac:dyDescent="0.3">
      <c r="A112">
        <v>13</v>
      </c>
      <c r="B112" t="s">
        <v>29</v>
      </c>
      <c r="C112">
        <v>915</v>
      </c>
      <c r="D112" s="1">
        <v>10.6</v>
      </c>
      <c r="E112" s="1">
        <v>178.7</v>
      </c>
      <c r="F112" t="s">
        <v>29</v>
      </c>
      <c r="H112" s="25">
        <f>VLOOKUP(I112,A$2:E$765,5,FALSE)</f>
        <v>55.3</v>
      </c>
      <c r="I112">
        <v>114</v>
      </c>
      <c r="J112" t="str">
        <f>VLOOKUP(I112,A111:B875,2,FALSE)</f>
        <v>GIRET</v>
      </c>
      <c r="R112">
        <v>22</v>
      </c>
      <c r="S112">
        <v>1</v>
      </c>
      <c r="T112">
        <v>1.3089005235602095E-3</v>
      </c>
      <c r="U112">
        <v>0.93062827225130895</v>
      </c>
    </row>
    <row r="113" spans="1:21" x14ac:dyDescent="0.3">
      <c r="A113">
        <v>13</v>
      </c>
      <c r="B113" t="s">
        <v>29</v>
      </c>
      <c r="C113">
        <v>974</v>
      </c>
      <c r="D113" s="1">
        <v>30</v>
      </c>
      <c r="E113" s="1">
        <v>178.7</v>
      </c>
      <c r="F113" t="s">
        <v>29</v>
      </c>
      <c r="H113" s="25">
        <f>VLOOKUP(I113,A$2:E$765,5,FALSE)</f>
        <v>46</v>
      </c>
      <c r="I113">
        <v>115</v>
      </c>
      <c r="J113" t="str">
        <f>VLOOKUP(I113,A112:B876,2,FALSE)</f>
        <v>LOUARON</v>
      </c>
      <c r="R113">
        <v>22.1</v>
      </c>
      <c r="S113">
        <v>1</v>
      </c>
      <c r="T113">
        <v>1.3089005235602095E-3</v>
      </c>
      <c r="U113">
        <v>0.93193717277486909</v>
      </c>
    </row>
    <row r="114" spans="1:21" x14ac:dyDescent="0.3">
      <c r="A114">
        <v>13</v>
      </c>
      <c r="B114" t="s">
        <v>29</v>
      </c>
      <c r="C114">
        <v>1023</v>
      </c>
      <c r="D114" s="1">
        <v>26.8</v>
      </c>
      <c r="E114" s="1">
        <v>178.7</v>
      </c>
      <c r="F114" t="s">
        <v>29</v>
      </c>
      <c r="H114" s="25">
        <f>VLOOKUP(I114,A$2:E$765,5,FALSE)</f>
        <v>27.2</v>
      </c>
      <c r="I114">
        <v>116</v>
      </c>
      <c r="J114" t="str">
        <f>VLOOKUP(I114,A113:B877,2,FALSE)</f>
        <v>INITA</v>
      </c>
      <c r="R114">
        <v>22.2</v>
      </c>
      <c r="S114">
        <v>3</v>
      </c>
      <c r="T114">
        <v>3.9267015706806281E-3</v>
      </c>
      <c r="U114">
        <v>0.93586387434554974</v>
      </c>
    </row>
    <row r="115" spans="1:21" x14ac:dyDescent="0.3">
      <c r="A115">
        <v>13</v>
      </c>
      <c r="B115" t="s">
        <v>29</v>
      </c>
      <c r="C115">
        <v>1194</v>
      </c>
      <c r="D115" s="1">
        <v>10.4</v>
      </c>
      <c r="E115" s="1">
        <v>178.7</v>
      </c>
      <c r="F115" t="s">
        <v>29</v>
      </c>
      <c r="H115" s="25">
        <f>VLOOKUP(I115,A$2:E$765,5,FALSE)</f>
        <v>46.2</v>
      </c>
      <c r="I115">
        <v>117</v>
      </c>
      <c r="J115" t="str">
        <f>VLOOKUP(I115,A114:B878,2,FALSE)</f>
        <v>ALEYI</v>
      </c>
      <c r="R115">
        <v>22.5</v>
      </c>
      <c r="S115">
        <v>5</v>
      </c>
      <c r="T115">
        <v>6.5445026178010471E-3</v>
      </c>
      <c r="U115">
        <v>0.94240837696335078</v>
      </c>
    </row>
    <row r="116" spans="1:21" x14ac:dyDescent="0.3">
      <c r="A116">
        <v>13</v>
      </c>
      <c r="B116" t="s">
        <v>29</v>
      </c>
      <c r="C116">
        <v>1218</v>
      </c>
      <c r="D116" s="1">
        <v>7.5</v>
      </c>
      <c r="E116" s="1">
        <v>178.7</v>
      </c>
      <c r="F116" t="s">
        <v>29</v>
      </c>
      <c r="H116" s="25">
        <f>VLOOKUP(I116,A$2:E$765,5,FALSE)</f>
        <v>96</v>
      </c>
      <c r="I116">
        <v>118</v>
      </c>
      <c r="J116" t="str">
        <f>VLOOKUP(I116,A115:B879,2,FALSE)</f>
        <v>LAGIN</v>
      </c>
      <c r="R116">
        <v>22.7</v>
      </c>
      <c r="S116">
        <v>2</v>
      </c>
      <c r="T116">
        <v>2.617801047120419E-3</v>
      </c>
      <c r="U116">
        <v>0.94502617801047117</v>
      </c>
    </row>
    <row r="117" spans="1:21" x14ac:dyDescent="0.3">
      <c r="A117">
        <v>13</v>
      </c>
      <c r="B117" t="s">
        <v>29</v>
      </c>
      <c r="C117">
        <v>1230</v>
      </c>
      <c r="D117" s="1">
        <v>7.7</v>
      </c>
      <c r="E117" s="1">
        <v>178.7</v>
      </c>
      <c r="F117" t="s">
        <v>29</v>
      </c>
      <c r="H117" s="25">
        <f>VLOOKUP(I117,A$2:E$765,5,FALSE)</f>
        <v>31.3</v>
      </c>
      <c r="I117">
        <v>119</v>
      </c>
      <c r="J117" t="str">
        <f>VLOOKUP(I117,A116:B880,2,FALSE)</f>
        <v>AMONT</v>
      </c>
      <c r="R117">
        <v>22.8</v>
      </c>
      <c r="S117">
        <v>3</v>
      </c>
      <c r="T117">
        <v>3.9267015706806281E-3</v>
      </c>
      <c r="U117">
        <v>0.94895287958115182</v>
      </c>
    </row>
    <row r="118" spans="1:21" x14ac:dyDescent="0.3">
      <c r="A118">
        <v>13</v>
      </c>
      <c r="B118" t="s">
        <v>29</v>
      </c>
      <c r="C118">
        <v>1257</v>
      </c>
      <c r="D118" s="1">
        <v>5.2</v>
      </c>
      <c r="E118" s="1">
        <v>178.7</v>
      </c>
      <c r="F118" t="s">
        <v>29</v>
      </c>
      <c r="H118" s="25">
        <f>VLOOKUP(I118,A$2:E$765,5,FALSE)</f>
        <v>98.7</v>
      </c>
      <c r="I118">
        <v>120</v>
      </c>
      <c r="J118" t="str">
        <f>VLOOKUP(I118,A117:B881,2,FALSE)</f>
        <v>MAVULE</v>
      </c>
      <c r="R118">
        <v>23.1</v>
      </c>
      <c r="S118">
        <v>3</v>
      </c>
      <c r="T118">
        <v>3.9267015706806281E-3</v>
      </c>
      <c r="U118">
        <v>0.95287958115183247</v>
      </c>
    </row>
    <row r="119" spans="1:21" x14ac:dyDescent="0.3">
      <c r="A119">
        <v>13</v>
      </c>
      <c r="B119" t="s">
        <v>29</v>
      </c>
      <c r="C119">
        <v>1326</v>
      </c>
      <c r="D119" s="1">
        <v>7.6</v>
      </c>
      <c r="E119" s="1">
        <v>178.7</v>
      </c>
      <c r="F119" t="s">
        <v>29</v>
      </c>
      <c r="H119" s="25">
        <f>VLOOKUP(I119,A$2:E$765,5,FALSE)</f>
        <v>35.200000000000003</v>
      </c>
      <c r="I119">
        <v>121</v>
      </c>
      <c r="J119" t="str">
        <f>VLOOKUP(I119,A118:B882,2,FALSE)</f>
        <v>TINING</v>
      </c>
      <c r="R119">
        <v>23.2</v>
      </c>
      <c r="S119">
        <v>1</v>
      </c>
      <c r="T119">
        <v>1.3089005235602095E-3</v>
      </c>
      <c r="U119">
        <v>0.95418848167539272</v>
      </c>
    </row>
    <row r="120" spans="1:21" x14ac:dyDescent="0.3">
      <c r="A120">
        <v>13</v>
      </c>
      <c r="B120" t="s">
        <v>29</v>
      </c>
      <c r="C120">
        <v>1361</v>
      </c>
      <c r="D120" s="1">
        <v>3</v>
      </c>
      <c r="E120" s="1">
        <v>178.7</v>
      </c>
      <c r="F120" t="s">
        <v>29</v>
      </c>
      <c r="H120" s="25">
        <f>VLOOKUP(I120,A$2:E$765,5,FALSE)</f>
        <v>106.7</v>
      </c>
      <c r="I120">
        <v>122</v>
      </c>
      <c r="J120" t="str">
        <f>VLOOKUP(I120,A119:B883,2,FALSE)</f>
        <v>OUETAN</v>
      </c>
      <c r="R120">
        <v>23.6</v>
      </c>
      <c r="S120">
        <v>1</v>
      </c>
      <c r="T120">
        <v>1.3089005235602095E-3</v>
      </c>
      <c r="U120">
        <v>0.95549738219895286</v>
      </c>
    </row>
    <row r="121" spans="1:21" x14ac:dyDescent="0.3">
      <c r="A121">
        <v>13</v>
      </c>
      <c r="B121" t="s">
        <v>29</v>
      </c>
      <c r="C121">
        <v>1373</v>
      </c>
      <c r="D121" s="1">
        <v>15</v>
      </c>
      <c r="E121" s="1">
        <v>178.7</v>
      </c>
      <c r="F121" t="s">
        <v>29</v>
      </c>
      <c r="H121" s="25">
        <f>VLOOKUP(I121,A$2:E$765,5,FALSE)</f>
        <v>66.5</v>
      </c>
      <c r="I121">
        <v>123</v>
      </c>
      <c r="J121" t="str">
        <f>VLOOKUP(I121,A120:B884,2,FALSE)</f>
        <v>TADOR</v>
      </c>
      <c r="R121">
        <v>24.9</v>
      </c>
      <c r="S121">
        <v>1</v>
      </c>
      <c r="T121">
        <v>1.3089005235602095E-3</v>
      </c>
      <c r="U121">
        <v>0.95680628272251311</v>
      </c>
    </row>
    <row r="122" spans="1:21" x14ac:dyDescent="0.3">
      <c r="A122">
        <v>13</v>
      </c>
      <c r="B122" t="s">
        <v>29</v>
      </c>
      <c r="C122">
        <v>1382</v>
      </c>
      <c r="D122" s="1">
        <v>12.3</v>
      </c>
      <c r="E122" s="1">
        <v>178.7</v>
      </c>
      <c r="F122" t="s">
        <v>29</v>
      </c>
      <c r="H122" s="25">
        <f>VLOOKUP(I122,A$2:E$765,5,FALSE)</f>
        <v>43.5</v>
      </c>
      <c r="I122">
        <v>124</v>
      </c>
      <c r="J122" t="str">
        <f>VLOOKUP(I122,A121:B885,2,FALSE)</f>
        <v>MANUTRET</v>
      </c>
      <c r="R122">
        <v>25.2</v>
      </c>
      <c r="S122">
        <v>3</v>
      </c>
      <c r="T122">
        <v>3.9267015706806281E-3</v>
      </c>
      <c r="U122">
        <v>0.96073298429319376</v>
      </c>
    </row>
    <row r="123" spans="1:21" x14ac:dyDescent="0.3">
      <c r="A123">
        <v>14</v>
      </c>
      <c r="B123" t="s">
        <v>30</v>
      </c>
      <c r="C123">
        <v>606</v>
      </c>
      <c r="D123" s="1">
        <v>7.4</v>
      </c>
      <c r="E123" s="1">
        <v>91</v>
      </c>
      <c r="F123" t="s">
        <v>30</v>
      </c>
      <c r="H123" s="25">
        <f>VLOOKUP(I123,A$2:E$765,5,FALSE)</f>
        <v>7.7</v>
      </c>
      <c r="I123">
        <v>125</v>
      </c>
      <c r="J123" t="str">
        <f>VLOOKUP(I123,A122:B886,2,FALSE)</f>
        <v>KRESWOL</v>
      </c>
      <c r="R123">
        <v>25.4</v>
      </c>
      <c r="S123">
        <v>3</v>
      </c>
      <c r="T123">
        <v>3.9267015706806281E-3</v>
      </c>
      <c r="U123">
        <v>0.96465968586387429</v>
      </c>
    </row>
    <row r="124" spans="1:21" x14ac:dyDescent="0.3">
      <c r="A124">
        <v>14</v>
      </c>
      <c r="B124" t="s">
        <v>30</v>
      </c>
      <c r="C124">
        <v>690</v>
      </c>
      <c r="D124" s="1">
        <v>5.0999999999999996</v>
      </c>
      <c r="E124" s="1">
        <v>91</v>
      </c>
      <c r="F124" t="s">
        <v>30</v>
      </c>
      <c r="H124" s="25">
        <f>VLOOKUP(I124,A$2:E$765,5,FALSE)</f>
        <v>5.3</v>
      </c>
      <c r="I124">
        <v>126</v>
      </c>
      <c r="J124" t="str">
        <f>VLOOKUP(I124,A123:B887,2,FALSE)</f>
        <v>GRANDPOIS</v>
      </c>
      <c r="R124">
        <v>25.5</v>
      </c>
      <c r="S124">
        <v>2</v>
      </c>
      <c r="T124">
        <v>2.617801047120419E-3</v>
      </c>
      <c r="U124">
        <v>0.9672774869109948</v>
      </c>
    </row>
    <row r="125" spans="1:21" x14ac:dyDescent="0.3">
      <c r="A125">
        <v>14</v>
      </c>
      <c r="B125" t="s">
        <v>30</v>
      </c>
      <c r="C125">
        <v>710</v>
      </c>
      <c r="D125" s="1">
        <v>10.3</v>
      </c>
      <c r="E125" s="1">
        <v>91</v>
      </c>
      <c r="F125" t="s">
        <v>30</v>
      </c>
      <c r="H125" s="25">
        <f>VLOOKUP(I125,A$2:E$765,5,FALSE)</f>
        <v>76</v>
      </c>
      <c r="I125">
        <v>127</v>
      </c>
      <c r="J125" t="str">
        <f>VLOOKUP(I125,A124:B888,2,FALSE)</f>
        <v>DONCHY</v>
      </c>
      <c r="R125">
        <v>26.5</v>
      </c>
      <c r="S125">
        <v>2</v>
      </c>
      <c r="T125">
        <v>2.617801047120419E-3</v>
      </c>
      <c r="U125">
        <v>0.96989528795811519</v>
      </c>
    </row>
    <row r="126" spans="1:21" x14ac:dyDescent="0.3">
      <c r="A126">
        <v>14</v>
      </c>
      <c r="B126" t="s">
        <v>30</v>
      </c>
      <c r="C126">
        <v>932</v>
      </c>
      <c r="D126" s="1">
        <v>17.100000000000001</v>
      </c>
      <c r="E126" s="1">
        <v>91</v>
      </c>
      <c r="F126" t="s">
        <v>30</v>
      </c>
      <c r="R126">
        <v>26.7</v>
      </c>
      <c r="S126">
        <v>1</v>
      </c>
      <c r="T126">
        <v>1.3089005235602095E-3</v>
      </c>
      <c r="U126">
        <v>0.97120418848167545</v>
      </c>
    </row>
    <row r="127" spans="1:21" x14ac:dyDescent="0.3">
      <c r="A127">
        <v>14</v>
      </c>
      <c r="B127" t="s">
        <v>30</v>
      </c>
      <c r="C127">
        <v>956</v>
      </c>
      <c r="D127" s="1">
        <v>5.3</v>
      </c>
      <c r="E127" s="1">
        <v>91</v>
      </c>
      <c r="F127" t="s">
        <v>30</v>
      </c>
      <c r="R127">
        <v>26.8</v>
      </c>
      <c r="S127">
        <v>1</v>
      </c>
      <c r="T127">
        <v>1.3089005235602095E-3</v>
      </c>
      <c r="U127">
        <v>0.97251308900523559</v>
      </c>
    </row>
    <row r="128" spans="1:21" x14ac:dyDescent="0.3">
      <c r="A128">
        <v>14</v>
      </c>
      <c r="B128" t="s">
        <v>30</v>
      </c>
      <c r="C128">
        <v>1203</v>
      </c>
      <c r="D128" s="1">
        <v>11.7</v>
      </c>
      <c r="E128" s="1">
        <v>91</v>
      </c>
      <c r="F128" t="s">
        <v>30</v>
      </c>
      <c r="R128">
        <v>27.3</v>
      </c>
      <c r="S128">
        <v>1</v>
      </c>
      <c r="T128">
        <v>1.3089005235602095E-3</v>
      </c>
      <c r="U128">
        <v>0.97382198952879584</v>
      </c>
    </row>
    <row r="129" spans="1:21" x14ac:dyDescent="0.3">
      <c r="A129">
        <v>14</v>
      </c>
      <c r="B129" t="s">
        <v>30</v>
      </c>
      <c r="C129">
        <v>1235</v>
      </c>
      <c r="D129" s="1">
        <v>4.0999999999999996</v>
      </c>
      <c r="E129" s="1">
        <v>91</v>
      </c>
      <c r="F129" t="s">
        <v>30</v>
      </c>
      <c r="R129">
        <v>27.8</v>
      </c>
      <c r="S129">
        <v>1</v>
      </c>
      <c r="T129">
        <v>1.3089005235602095E-3</v>
      </c>
      <c r="U129">
        <v>0.97513089005235598</v>
      </c>
    </row>
    <row r="130" spans="1:21" x14ac:dyDescent="0.3">
      <c r="A130">
        <v>14</v>
      </c>
      <c r="B130" t="s">
        <v>30</v>
      </c>
      <c r="C130">
        <v>1259</v>
      </c>
      <c r="D130" s="1">
        <v>7.6</v>
      </c>
      <c r="E130" s="1">
        <v>91</v>
      </c>
      <c r="F130" t="s">
        <v>30</v>
      </c>
      <c r="H130" t="s">
        <v>154</v>
      </c>
      <c r="I130" t="s">
        <v>153</v>
      </c>
      <c r="J130" t="s">
        <v>152</v>
      </c>
      <c r="R130">
        <v>28.7</v>
      </c>
      <c r="S130">
        <v>1</v>
      </c>
      <c r="T130">
        <v>1.3089005235602095E-3</v>
      </c>
      <c r="U130">
        <v>0.97643979057591623</v>
      </c>
    </row>
    <row r="131" spans="1:21" x14ac:dyDescent="0.3">
      <c r="A131">
        <v>14</v>
      </c>
      <c r="B131" t="s">
        <v>30</v>
      </c>
      <c r="C131">
        <v>1346</v>
      </c>
      <c r="D131" s="1">
        <v>17.2</v>
      </c>
      <c r="E131" s="1">
        <v>91</v>
      </c>
      <c r="F131" t="s">
        <v>30</v>
      </c>
      <c r="H131" t="str">
        <f>VLOOKUP(I131,A1:B765,2,FALSE)</f>
        <v>DURAND</v>
      </c>
      <c r="I131">
        <v>3</v>
      </c>
      <c r="J131">
        <f>COUNTIF(A$2:A$765,I131)</f>
        <v>21</v>
      </c>
      <c r="L131" s="24" t="s">
        <v>147</v>
      </c>
      <c r="M131" t="s">
        <v>146</v>
      </c>
      <c r="N131" t="s">
        <v>145</v>
      </c>
      <c r="O131" t="s">
        <v>144</v>
      </c>
      <c r="R131">
        <v>29.4</v>
      </c>
      <c r="S131">
        <v>1</v>
      </c>
      <c r="T131">
        <v>1.3089005235602095E-3</v>
      </c>
      <c r="U131">
        <v>0.97774869109947649</v>
      </c>
    </row>
    <row r="132" spans="1:21" x14ac:dyDescent="0.3">
      <c r="A132">
        <v>14</v>
      </c>
      <c r="B132" t="s">
        <v>30</v>
      </c>
      <c r="C132">
        <v>1391</v>
      </c>
      <c r="D132" s="1">
        <v>5.2</v>
      </c>
      <c r="E132" s="1">
        <v>91</v>
      </c>
      <c r="F132" t="s">
        <v>30</v>
      </c>
      <c r="H132" t="str">
        <f>VLOOKUP(I132,A2:B766,2,FALSE)</f>
        <v>MANIN</v>
      </c>
      <c r="I132">
        <v>4</v>
      </c>
      <c r="J132">
        <f>COUNTIF(A$2:A$765,I132)</f>
        <v>16</v>
      </c>
      <c r="L132" s="23" t="s">
        <v>151</v>
      </c>
      <c r="M132">
        <v>65</v>
      </c>
      <c r="N132" s="22">
        <v>0.52419354838709675</v>
      </c>
      <c r="O132" s="22">
        <v>0.52419354838709675</v>
      </c>
      <c r="R132">
        <v>29.6</v>
      </c>
      <c r="S132">
        <v>2</v>
      </c>
      <c r="T132">
        <v>2.617801047120419E-3</v>
      </c>
      <c r="U132">
        <v>0.98036649214659688</v>
      </c>
    </row>
    <row r="133" spans="1:21" x14ac:dyDescent="0.3">
      <c r="A133">
        <v>15</v>
      </c>
      <c r="B133" t="s">
        <v>31</v>
      </c>
      <c r="C133">
        <v>586</v>
      </c>
      <c r="D133" s="1">
        <v>5.0999999999999996</v>
      </c>
      <c r="E133" s="1">
        <v>90.3</v>
      </c>
      <c r="F133" t="s">
        <v>31</v>
      </c>
      <c r="H133" t="str">
        <f>VLOOKUP(I133,A3:B767,2,FALSE)</f>
        <v>DUPOND</v>
      </c>
      <c r="I133">
        <v>5</v>
      </c>
      <c r="J133">
        <f>COUNTIF(A$2:A$765,I133)</f>
        <v>14</v>
      </c>
      <c r="L133" s="23" t="s">
        <v>150</v>
      </c>
      <c r="M133">
        <v>43</v>
      </c>
      <c r="N133" s="22">
        <v>0.34677419354838712</v>
      </c>
      <c r="O133" s="22">
        <v>0.87096774193548387</v>
      </c>
      <c r="R133">
        <v>30</v>
      </c>
      <c r="S133">
        <v>4</v>
      </c>
      <c r="T133">
        <v>5.235602094240838E-3</v>
      </c>
      <c r="U133">
        <v>0.98560209424083767</v>
      </c>
    </row>
    <row r="134" spans="1:21" x14ac:dyDescent="0.3">
      <c r="A134">
        <v>15</v>
      </c>
      <c r="B134" t="s">
        <v>31</v>
      </c>
      <c r="C134">
        <v>701</v>
      </c>
      <c r="D134" s="1">
        <v>13.9</v>
      </c>
      <c r="E134" s="1">
        <v>90.3</v>
      </c>
      <c r="F134" t="s">
        <v>31</v>
      </c>
      <c r="H134" t="str">
        <f>VLOOKUP(I134,A4:B768,2,FALSE)</f>
        <v>HELLOUIN</v>
      </c>
      <c r="I134">
        <v>6</v>
      </c>
      <c r="J134">
        <f>COUNTIF(A$2:A$765,I134)</f>
        <v>12</v>
      </c>
      <c r="L134" s="23" t="s">
        <v>149</v>
      </c>
      <c r="M134">
        <v>13</v>
      </c>
      <c r="N134" s="22">
        <v>0.10483870967741936</v>
      </c>
      <c r="O134" s="22">
        <v>0.97580645161290325</v>
      </c>
      <c r="R134">
        <v>30.1</v>
      </c>
      <c r="S134">
        <v>1</v>
      </c>
      <c r="T134">
        <v>1.3089005235602095E-3</v>
      </c>
      <c r="U134">
        <v>0.98691099476439792</v>
      </c>
    </row>
    <row r="135" spans="1:21" x14ac:dyDescent="0.3">
      <c r="A135">
        <v>15</v>
      </c>
      <c r="B135" t="s">
        <v>31</v>
      </c>
      <c r="C135">
        <v>711</v>
      </c>
      <c r="D135" s="1">
        <v>15.6</v>
      </c>
      <c r="E135" s="1">
        <v>90.3</v>
      </c>
      <c r="F135" t="s">
        <v>31</v>
      </c>
      <c r="H135" t="str">
        <f>VLOOKUP(I135,A5:B769,2,FALSE)</f>
        <v>DIARRA</v>
      </c>
      <c r="I135">
        <v>8</v>
      </c>
      <c r="J135">
        <f>COUNTIF(A$2:A$765,I135)</f>
        <v>7</v>
      </c>
      <c r="L135" s="23" t="s">
        <v>148</v>
      </c>
      <c r="M135">
        <v>3</v>
      </c>
      <c r="N135" s="22">
        <v>2.4193548387096774E-2</v>
      </c>
      <c r="O135" s="22">
        <v>1</v>
      </c>
      <c r="R135">
        <v>30.2</v>
      </c>
      <c r="S135">
        <v>1</v>
      </c>
      <c r="T135">
        <v>1.3089005235602095E-3</v>
      </c>
      <c r="U135">
        <v>0.98821989528795806</v>
      </c>
    </row>
    <row r="136" spans="1:21" x14ac:dyDescent="0.3">
      <c r="A136">
        <v>15</v>
      </c>
      <c r="B136" t="s">
        <v>31</v>
      </c>
      <c r="C136">
        <v>775</v>
      </c>
      <c r="D136" s="1">
        <v>9.8000000000000007</v>
      </c>
      <c r="E136" s="1">
        <v>90.3</v>
      </c>
      <c r="F136" t="s">
        <v>31</v>
      </c>
      <c r="H136" t="str">
        <f>VLOOKUP(I136,A6:B770,2,FALSE)</f>
        <v>VERT</v>
      </c>
      <c r="I136">
        <v>9</v>
      </c>
      <c r="J136">
        <f>COUNTIF(A$2:A$765,I136)</f>
        <v>9</v>
      </c>
      <c r="L136" s="23" t="s">
        <v>143</v>
      </c>
      <c r="M136">
        <v>124</v>
      </c>
      <c r="N136" s="22">
        <v>1</v>
      </c>
      <c r="O136" s="22"/>
      <c r="R136">
        <v>31.6</v>
      </c>
      <c r="S136">
        <v>1</v>
      </c>
      <c r="T136">
        <v>1.3089005235602095E-3</v>
      </c>
      <c r="U136">
        <v>0.98952879581151831</v>
      </c>
    </row>
    <row r="137" spans="1:21" x14ac:dyDescent="0.3">
      <c r="A137">
        <v>15</v>
      </c>
      <c r="B137" t="s">
        <v>31</v>
      </c>
      <c r="C137">
        <v>942</v>
      </c>
      <c r="D137" s="1">
        <v>15</v>
      </c>
      <c r="E137" s="1">
        <v>90.3</v>
      </c>
      <c r="F137" t="s">
        <v>31</v>
      </c>
      <c r="H137" t="str">
        <f>VLOOKUP(I137,A7:B771,2,FALSE)</f>
        <v>DYNATORI</v>
      </c>
      <c r="I137">
        <v>10</v>
      </c>
      <c r="J137">
        <f>COUNTIF(A$2:A$765,I137)</f>
        <v>10</v>
      </c>
      <c r="R137">
        <v>31.8</v>
      </c>
      <c r="S137">
        <v>1</v>
      </c>
      <c r="T137">
        <v>1.3089005235602095E-3</v>
      </c>
      <c r="U137">
        <v>0.99083769633507857</v>
      </c>
    </row>
    <row r="138" spans="1:21" x14ac:dyDescent="0.3">
      <c r="A138">
        <v>15</v>
      </c>
      <c r="B138" t="s">
        <v>31</v>
      </c>
      <c r="C138">
        <v>1035</v>
      </c>
      <c r="D138" s="1">
        <v>15</v>
      </c>
      <c r="E138" s="1">
        <v>90.3</v>
      </c>
      <c r="F138" t="s">
        <v>31</v>
      </c>
      <c r="H138" t="str">
        <f>VLOOKUP(I138,A8:B772,2,FALSE)</f>
        <v>RICHARD</v>
      </c>
      <c r="I138">
        <v>11</v>
      </c>
      <c r="J138">
        <f>COUNTIF(A$2:A$765,I138)</f>
        <v>4</v>
      </c>
      <c r="L138" t="s">
        <v>147</v>
      </c>
      <c r="M138" t="s">
        <v>146</v>
      </c>
      <c r="N138" t="s">
        <v>145</v>
      </c>
      <c r="O138" t="s">
        <v>144</v>
      </c>
      <c r="R138">
        <v>32.799999999999997</v>
      </c>
      <c r="S138">
        <v>1</v>
      </c>
      <c r="T138">
        <v>1.3089005235602095E-3</v>
      </c>
      <c r="U138">
        <v>0.99214659685863871</v>
      </c>
    </row>
    <row r="139" spans="1:21" x14ac:dyDescent="0.3">
      <c r="A139">
        <v>15</v>
      </c>
      <c r="B139" t="s">
        <v>31</v>
      </c>
      <c r="C139">
        <v>1232</v>
      </c>
      <c r="D139" s="1">
        <v>10.6</v>
      </c>
      <c r="E139" s="1">
        <v>90.3</v>
      </c>
      <c r="F139" t="s">
        <v>31</v>
      </c>
      <c r="H139" t="str">
        <f>VLOOKUP(I139,A9:B773,2,FALSE)</f>
        <v>MANIN</v>
      </c>
      <c r="I139">
        <v>12</v>
      </c>
      <c r="J139">
        <f>COUNTIF(A$2:A$765,I139)</f>
        <v>13</v>
      </c>
      <c r="L139" t="s">
        <v>151</v>
      </c>
      <c r="M139">
        <v>65</v>
      </c>
      <c r="N139">
        <v>0.52419354838709675</v>
      </c>
      <c r="O139">
        <v>0.52419354838709675</v>
      </c>
      <c r="R139">
        <v>33.1</v>
      </c>
      <c r="S139">
        <v>1</v>
      </c>
      <c r="T139">
        <v>1.3089005235602095E-3</v>
      </c>
      <c r="U139">
        <v>0.99345549738219896</v>
      </c>
    </row>
    <row r="140" spans="1:21" x14ac:dyDescent="0.3">
      <c r="A140">
        <v>15</v>
      </c>
      <c r="B140" t="s">
        <v>31</v>
      </c>
      <c r="C140">
        <v>1331</v>
      </c>
      <c r="D140" s="1">
        <v>5.3</v>
      </c>
      <c r="E140" s="1">
        <v>90.3</v>
      </c>
      <c r="F140" t="s">
        <v>31</v>
      </c>
      <c r="H140" t="str">
        <f>VLOOKUP(I140,A10:B774,2,FALSE)</f>
        <v>GRANDET</v>
      </c>
      <c r="I140">
        <v>13</v>
      </c>
      <c r="J140">
        <f>COUNTIF(A$2:A$765,I140)</f>
        <v>15</v>
      </c>
      <c r="L140" t="s">
        <v>150</v>
      </c>
      <c r="M140">
        <v>43</v>
      </c>
      <c r="N140">
        <v>0.34677419354838712</v>
      </c>
      <c r="O140">
        <v>0.87096774193548387</v>
      </c>
      <c r="R140">
        <v>35.6</v>
      </c>
      <c r="S140">
        <v>1</v>
      </c>
      <c r="T140">
        <v>1.3089005235602095E-3</v>
      </c>
      <c r="U140">
        <v>0.99476439790575921</v>
      </c>
    </row>
    <row r="141" spans="1:21" x14ac:dyDescent="0.3">
      <c r="A141">
        <v>16</v>
      </c>
      <c r="B141" t="s">
        <v>32</v>
      </c>
      <c r="C141">
        <v>587</v>
      </c>
      <c r="D141" s="1">
        <v>15.6</v>
      </c>
      <c r="E141" s="1">
        <v>66.400000000000006</v>
      </c>
      <c r="F141" t="s">
        <v>32</v>
      </c>
      <c r="H141" t="str">
        <f>VLOOKUP(I141,A11:B775,2,FALSE)</f>
        <v>TERMER</v>
      </c>
      <c r="I141">
        <v>14</v>
      </c>
      <c r="J141">
        <f>COUNTIF(A$2:A$765,I141)</f>
        <v>10</v>
      </c>
      <c r="L141" t="s">
        <v>149</v>
      </c>
      <c r="M141">
        <v>13</v>
      </c>
      <c r="N141">
        <v>0.10483870967741936</v>
      </c>
      <c r="O141">
        <v>0.97580645161290325</v>
      </c>
      <c r="R141">
        <v>38.5</v>
      </c>
      <c r="S141">
        <v>1</v>
      </c>
      <c r="T141">
        <v>1.3089005235602095E-3</v>
      </c>
      <c r="U141">
        <v>0.99607329842931935</v>
      </c>
    </row>
    <row r="142" spans="1:21" x14ac:dyDescent="0.3">
      <c r="A142">
        <v>16</v>
      </c>
      <c r="B142" t="s">
        <v>32</v>
      </c>
      <c r="C142">
        <v>706</v>
      </c>
      <c r="D142" s="1">
        <v>5.2</v>
      </c>
      <c r="E142" s="1">
        <v>66.400000000000006</v>
      </c>
      <c r="F142" t="s">
        <v>32</v>
      </c>
      <c r="H142" t="str">
        <f>VLOOKUP(I142,A12:B776,2,FALSE)</f>
        <v>BAHL</v>
      </c>
      <c r="I142">
        <v>15</v>
      </c>
      <c r="J142">
        <f>COUNTIF(A$2:A$765,I142)</f>
        <v>8</v>
      </c>
      <c r="L142" t="s">
        <v>148</v>
      </c>
      <c r="M142">
        <v>3</v>
      </c>
      <c r="N142">
        <v>2.4193548387096774E-2</v>
      </c>
      <c r="O142">
        <v>1</v>
      </c>
      <c r="R142">
        <v>42.4</v>
      </c>
      <c r="S142">
        <v>1</v>
      </c>
      <c r="T142">
        <v>1.3089005235602095E-3</v>
      </c>
      <c r="U142">
        <v>0.99738219895287961</v>
      </c>
    </row>
    <row r="143" spans="1:21" x14ac:dyDescent="0.3">
      <c r="A143">
        <v>16</v>
      </c>
      <c r="B143" t="s">
        <v>32</v>
      </c>
      <c r="C143">
        <v>717</v>
      </c>
      <c r="D143" s="1">
        <v>5.2</v>
      </c>
      <c r="E143" s="1">
        <v>66.400000000000006</v>
      </c>
      <c r="F143" t="s">
        <v>32</v>
      </c>
      <c r="H143" t="str">
        <f>VLOOKUP(I143,A13:B777,2,FALSE)</f>
        <v>BEHRTY</v>
      </c>
      <c r="I143">
        <v>16</v>
      </c>
      <c r="J143">
        <f>COUNTIF(A$2:A$765,I143)</f>
        <v>7</v>
      </c>
      <c r="L143" t="s">
        <v>143</v>
      </c>
      <c r="M143">
        <v>124</v>
      </c>
      <c r="N143">
        <v>1</v>
      </c>
      <c r="R143">
        <v>42.9</v>
      </c>
      <c r="S143">
        <v>1</v>
      </c>
      <c r="T143">
        <v>1.3089005235602095E-3</v>
      </c>
      <c r="U143">
        <v>0.99869109947643975</v>
      </c>
    </row>
    <row r="144" spans="1:21" x14ac:dyDescent="0.3">
      <c r="A144">
        <v>16</v>
      </c>
      <c r="B144" t="s">
        <v>32</v>
      </c>
      <c r="C144">
        <v>778</v>
      </c>
      <c r="D144" s="1">
        <v>8</v>
      </c>
      <c r="E144" s="1">
        <v>66.400000000000006</v>
      </c>
      <c r="F144" t="s">
        <v>32</v>
      </c>
      <c r="H144" t="str">
        <f>VLOOKUP(I144,A14:B778,2,FALSE)</f>
        <v>BERMENDOR</v>
      </c>
      <c r="I144">
        <v>17</v>
      </c>
      <c r="J144">
        <f>COUNTIF(A$2:A$765,I144)</f>
        <v>5</v>
      </c>
      <c r="R144">
        <v>69.2</v>
      </c>
      <c r="S144">
        <v>1</v>
      </c>
      <c r="T144">
        <v>1.3089005235602095E-3</v>
      </c>
      <c r="U144">
        <v>1</v>
      </c>
    </row>
    <row r="145" spans="1:20" x14ac:dyDescent="0.3">
      <c r="A145">
        <v>16</v>
      </c>
      <c r="B145" t="s">
        <v>32</v>
      </c>
      <c r="C145">
        <v>943</v>
      </c>
      <c r="D145" s="1">
        <v>5.2</v>
      </c>
      <c r="E145" s="1">
        <v>66.400000000000006</v>
      </c>
      <c r="F145" t="s">
        <v>32</v>
      </c>
      <c r="H145" t="str">
        <f>VLOOKUP(I145,A15:B779,2,FALSE)</f>
        <v>BOLSHAKOVA</v>
      </c>
      <c r="I145">
        <v>18</v>
      </c>
      <c r="J145">
        <f>COUNTIF(A$2:A$765,I145)</f>
        <v>7</v>
      </c>
      <c r="R145" t="s">
        <v>143</v>
      </c>
      <c r="S145">
        <v>764</v>
      </c>
      <c r="T145">
        <v>1</v>
      </c>
    </row>
    <row r="146" spans="1:20" x14ac:dyDescent="0.3">
      <c r="A146">
        <v>16</v>
      </c>
      <c r="B146" t="s">
        <v>32</v>
      </c>
      <c r="C146">
        <v>1265</v>
      </c>
      <c r="D146" s="1">
        <v>6.8</v>
      </c>
      <c r="E146" s="1">
        <v>66.400000000000006</v>
      </c>
      <c r="F146" t="s">
        <v>32</v>
      </c>
      <c r="H146" t="str">
        <f>VLOOKUP(I146,A16:B780,2,FALSE)</f>
        <v>CARTIER</v>
      </c>
      <c r="I146">
        <v>19</v>
      </c>
      <c r="J146">
        <f>COUNTIF(A$2:A$765,I146)</f>
        <v>4</v>
      </c>
    </row>
    <row r="147" spans="1:20" x14ac:dyDescent="0.3">
      <c r="A147">
        <v>16</v>
      </c>
      <c r="B147" t="s">
        <v>32</v>
      </c>
      <c r="C147">
        <v>1375</v>
      </c>
      <c r="D147" s="1">
        <v>20.399999999999999</v>
      </c>
      <c r="E147" s="1">
        <v>66.400000000000006</v>
      </c>
      <c r="F147" t="s">
        <v>32</v>
      </c>
      <c r="H147" t="str">
        <f>VLOOKUP(I147,A17:B781,2,FALSE)</f>
        <v>CHAMBON</v>
      </c>
      <c r="I147">
        <v>20</v>
      </c>
      <c r="J147">
        <f>COUNTIF(A$2:A$765,I147)</f>
        <v>2</v>
      </c>
    </row>
    <row r="148" spans="1:20" x14ac:dyDescent="0.3">
      <c r="A148">
        <v>17</v>
      </c>
      <c r="B148" t="s">
        <v>33</v>
      </c>
      <c r="C148">
        <v>588</v>
      </c>
      <c r="D148" s="1">
        <v>7.4</v>
      </c>
      <c r="E148" s="1">
        <v>37.799999999999997</v>
      </c>
      <c r="F148" t="s">
        <v>33</v>
      </c>
      <c r="H148" t="str">
        <f>VLOOKUP(I148,A18:B782,2,FALSE)</f>
        <v>DORELTZER</v>
      </c>
      <c r="I148">
        <v>21</v>
      </c>
      <c r="J148">
        <f>COUNTIF(A$2:A$765,I148)</f>
        <v>4</v>
      </c>
    </row>
    <row r="149" spans="1:20" x14ac:dyDescent="0.3">
      <c r="A149">
        <v>17</v>
      </c>
      <c r="B149" t="s">
        <v>33</v>
      </c>
      <c r="C149">
        <v>712</v>
      </c>
      <c r="D149" s="1">
        <v>4.9000000000000004</v>
      </c>
      <c r="E149" s="1">
        <v>37.799999999999997</v>
      </c>
      <c r="F149" t="s">
        <v>33</v>
      </c>
      <c r="H149" t="str">
        <f>VLOOKUP(I149,A19:B783,2,FALSE)</f>
        <v>EL KOUCHI</v>
      </c>
      <c r="I149">
        <v>22</v>
      </c>
      <c r="J149">
        <f>COUNTIF(A$2:A$765,I149)</f>
        <v>7</v>
      </c>
    </row>
    <row r="150" spans="1:20" x14ac:dyDescent="0.3">
      <c r="A150">
        <v>17</v>
      </c>
      <c r="B150" t="s">
        <v>33</v>
      </c>
      <c r="C150">
        <v>723</v>
      </c>
      <c r="D150" s="1">
        <v>5.2</v>
      </c>
      <c r="E150" s="1">
        <v>37.799999999999997</v>
      </c>
      <c r="F150" t="s">
        <v>33</v>
      </c>
      <c r="H150" t="str">
        <f>VLOOKUP(I150,A20:B784,2,FALSE)</f>
        <v>FORLANISSANT</v>
      </c>
      <c r="I150">
        <v>23</v>
      </c>
      <c r="J150">
        <f>COUNTIF(A$2:A$765,I150)</f>
        <v>3</v>
      </c>
    </row>
    <row r="151" spans="1:20" x14ac:dyDescent="0.3">
      <c r="A151">
        <v>17</v>
      </c>
      <c r="B151" t="s">
        <v>33</v>
      </c>
      <c r="C151">
        <v>776</v>
      </c>
      <c r="D151" s="1">
        <v>5.0999999999999996</v>
      </c>
      <c r="E151" s="1">
        <v>37.799999999999997</v>
      </c>
      <c r="F151" t="s">
        <v>33</v>
      </c>
      <c r="H151" t="str">
        <f>VLOOKUP(I151,A21:B785,2,FALSE)</f>
        <v>GHIRBELON</v>
      </c>
      <c r="I151">
        <v>24</v>
      </c>
      <c r="J151">
        <f>COUNTIF(A$2:A$765,I151)</f>
        <v>10</v>
      </c>
    </row>
    <row r="152" spans="1:20" x14ac:dyDescent="0.3">
      <c r="A152">
        <v>17</v>
      </c>
      <c r="B152" t="s">
        <v>33</v>
      </c>
      <c r="C152">
        <v>1036</v>
      </c>
      <c r="D152" s="1">
        <v>15.2</v>
      </c>
      <c r="E152" s="1">
        <v>37.799999999999997</v>
      </c>
      <c r="F152" t="s">
        <v>33</v>
      </c>
      <c r="H152" t="str">
        <f>VLOOKUP(I152,A22:B786,2,FALSE)</f>
        <v>HOUS</v>
      </c>
      <c r="I152">
        <v>25</v>
      </c>
      <c r="J152">
        <f>COUNTIF(A$2:A$765,I152)</f>
        <v>6</v>
      </c>
    </row>
    <row r="153" spans="1:20" x14ac:dyDescent="0.3">
      <c r="A153">
        <v>18</v>
      </c>
      <c r="B153" t="s">
        <v>34</v>
      </c>
      <c r="C153">
        <v>595</v>
      </c>
      <c r="D153" s="1">
        <v>5.2</v>
      </c>
      <c r="E153" s="1">
        <v>56.3</v>
      </c>
      <c r="F153" t="s">
        <v>34</v>
      </c>
      <c r="H153" t="str">
        <f>VLOOKUP(I153,A23:B787,2,FALSE)</f>
        <v>ATTOCHE</v>
      </c>
      <c r="I153">
        <v>26</v>
      </c>
      <c r="J153">
        <f>COUNTIF(A$2:A$765,I153)</f>
        <v>6</v>
      </c>
      <c r="L153" t="s">
        <v>147</v>
      </c>
      <c r="M153" t="s">
        <v>146</v>
      </c>
      <c r="N153" t="s">
        <v>145</v>
      </c>
      <c r="O153" t="s">
        <v>144</v>
      </c>
    </row>
    <row r="154" spans="1:20" x14ac:dyDescent="0.3">
      <c r="A154">
        <v>18</v>
      </c>
      <c r="B154" t="s">
        <v>34</v>
      </c>
      <c r="C154">
        <v>718</v>
      </c>
      <c r="D154" s="1">
        <v>13</v>
      </c>
      <c r="E154" s="1">
        <v>56.3</v>
      </c>
      <c r="F154" t="s">
        <v>34</v>
      </c>
      <c r="H154" t="str">
        <f>VLOOKUP(I154,A24:B788,2,FALSE)</f>
        <v>KHEMIS</v>
      </c>
      <c r="I154">
        <v>27</v>
      </c>
      <c r="J154">
        <f>COUNTIF(A$2:A$765,I154)</f>
        <v>5</v>
      </c>
      <c r="L154">
        <v>1</v>
      </c>
      <c r="M154">
        <v>8</v>
      </c>
      <c r="N154" s="22">
        <v>6.4516129032258063E-2</v>
      </c>
      <c r="O154" s="22">
        <v>6.4516129032258063E-2</v>
      </c>
    </row>
    <row r="155" spans="1:20" x14ac:dyDescent="0.3">
      <c r="A155">
        <v>18</v>
      </c>
      <c r="B155" t="s">
        <v>34</v>
      </c>
      <c r="C155">
        <v>728</v>
      </c>
      <c r="D155" s="1">
        <v>9.6</v>
      </c>
      <c r="E155" s="1">
        <v>56.3</v>
      </c>
      <c r="F155" t="s">
        <v>34</v>
      </c>
      <c r="H155" t="str">
        <f>VLOOKUP(I155,A25:B789,2,FALSE)</f>
        <v>BLAISNE</v>
      </c>
      <c r="I155">
        <v>28</v>
      </c>
      <c r="J155">
        <f>COUNTIF(A$2:A$765,I155)</f>
        <v>9</v>
      </c>
      <c r="L155">
        <v>2</v>
      </c>
      <c r="M155">
        <v>12</v>
      </c>
      <c r="N155" s="22">
        <v>9.6774193548387094E-2</v>
      </c>
      <c r="O155" s="22">
        <v>0.16129032258064516</v>
      </c>
    </row>
    <row r="156" spans="1:20" x14ac:dyDescent="0.3">
      <c r="A156">
        <v>18</v>
      </c>
      <c r="B156" t="s">
        <v>34</v>
      </c>
      <c r="C156">
        <v>779</v>
      </c>
      <c r="D156" s="1">
        <v>5.2</v>
      </c>
      <c r="E156" s="1">
        <v>56.3</v>
      </c>
      <c r="F156" t="s">
        <v>34</v>
      </c>
      <c r="H156" t="str">
        <f>VLOOKUP(I156,A26:B790,2,FALSE)</f>
        <v>LERONG</v>
      </c>
      <c r="I156">
        <v>29</v>
      </c>
      <c r="J156">
        <f>COUNTIF(A$2:A$765,I156)</f>
        <v>2</v>
      </c>
      <c r="L156">
        <v>3</v>
      </c>
      <c r="M156">
        <v>10</v>
      </c>
      <c r="N156" s="22">
        <v>8.0645161290322578E-2</v>
      </c>
      <c r="O156" s="22">
        <v>0.24193548387096775</v>
      </c>
    </row>
    <row r="157" spans="1:20" x14ac:dyDescent="0.3">
      <c r="A157">
        <v>18</v>
      </c>
      <c r="B157" t="s">
        <v>34</v>
      </c>
      <c r="C157">
        <v>1048</v>
      </c>
      <c r="D157" s="1">
        <v>10.6</v>
      </c>
      <c r="E157" s="1">
        <v>56.3</v>
      </c>
      <c r="F157" t="s">
        <v>34</v>
      </c>
      <c r="H157" t="str">
        <f>VLOOKUP(I157,A27:B791,2,FALSE)</f>
        <v>LINU</v>
      </c>
      <c r="I157">
        <v>30</v>
      </c>
      <c r="J157">
        <f>COUNTIF(A$2:A$765,I157)</f>
        <v>7</v>
      </c>
      <c r="L157">
        <v>4</v>
      </c>
      <c r="M157">
        <v>23</v>
      </c>
      <c r="N157" s="22">
        <v>0.18548387096774194</v>
      </c>
      <c r="O157" s="22">
        <v>0.42741935483870969</v>
      </c>
    </row>
    <row r="158" spans="1:20" x14ac:dyDescent="0.3">
      <c r="A158">
        <v>18</v>
      </c>
      <c r="B158" t="s">
        <v>34</v>
      </c>
      <c r="C158">
        <v>1225</v>
      </c>
      <c r="D158" s="1">
        <v>5.2</v>
      </c>
      <c r="E158" s="1">
        <v>56.3</v>
      </c>
      <c r="F158" t="s">
        <v>34</v>
      </c>
      <c r="H158" t="str">
        <f>VLOOKUP(I158,A28:B792,2,FALSE)</f>
        <v>MAVEL</v>
      </c>
      <c r="I158">
        <v>31</v>
      </c>
      <c r="J158">
        <f>COUNTIF(A$2:A$765,I158)</f>
        <v>6</v>
      </c>
      <c r="L158">
        <v>5</v>
      </c>
      <c r="M158">
        <v>12</v>
      </c>
      <c r="N158" s="22">
        <v>9.6774193548387094E-2</v>
      </c>
      <c r="O158" s="22">
        <v>0.52419354838709675</v>
      </c>
    </row>
    <row r="159" spans="1:20" x14ac:dyDescent="0.3">
      <c r="A159">
        <v>18</v>
      </c>
      <c r="B159" t="s">
        <v>34</v>
      </c>
      <c r="C159">
        <v>1406</v>
      </c>
      <c r="D159" s="1">
        <v>7.5</v>
      </c>
      <c r="E159" s="1">
        <v>56.3</v>
      </c>
      <c r="F159" t="s">
        <v>34</v>
      </c>
      <c r="H159" t="str">
        <f>VLOOKUP(I159,A29:B793,2,FALSE)</f>
        <v>MENARDIN</v>
      </c>
      <c r="I159">
        <v>32</v>
      </c>
      <c r="J159">
        <f>COUNTIF(A$2:A$765,I159)</f>
        <v>11</v>
      </c>
      <c r="L159">
        <v>6</v>
      </c>
      <c r="M159">
        <v>6</v>
      </c>
      <c r="N159" s="22">
        <v>4.8387096774193547E-2</v>
      </c>
      <c r="O159" s="22">
        <v>0.57258064516129037</v>
      </c>
    </row>
    <row r="160" spans="1:20" x14ac:dyDescent="0.3">
      <c r="A160">
        <v>19</v>
      </c>
      <c r="B160" t="s">
        <v>35</v>
      </c>
      <c r="C160">
        <v>596</v>
      </c>
      <c r="D160" s="1">
        <v>7.4</v>
      </c>
      <c r="E160" s="1">
        <v>32.799999999999997</v>
      </c>
      <c r="F160" t="s">
        <v>35</v>
      </c>
      <c r="H160" t="str">
        <f>VLOOKUP(I160,A30:B794,2,FALSE)</f>
        <v>NGUYEN</v>
      </c>
      <c r="I160">
        <v>33</v>
      </c>
      <c r="J160">
        <f>COUNTIF(A$2:A$765,I160)</f>
        <v>9</v>
      </c>
      <c r="L160">
        <v>7</v>
      </c>
      <c r="M160">
        <v>16</v>
      </c>
      <c r="N160" s="22">
        <v>0.12903225806451613</v>
      </c>
      <c r="O160" s="22">
        <v>0.70161290322580649</v>
      </c>
    </row>
    <row r="161" spans="1:51" x14ac:dyDescent="0.3">
      <c r="A161">
        <v>19</v>
      </c>
      <c r="B161" t="s">
        <v>35</v>
      </c>
      <c r="C161">
        <v>724</v>
      </c>
      <c r="D161" s="1">
        <v>10.199999999999999</v>
      </c>
      <c r="E161" s="1">
        <v>32.799999999999997</v>
      </c>
      <c r="F161" t="s">
        <v>35</v>
      </c>
      <c r="H161" t="str">
        <f>VLOOKUP(I161,A31:B795,2,FALSE)</f>
        <v>OUADICH</v>
      </c>
      <c r="I161">
        <v>34</v>
      </c>
      <c r="J161">
        <f>COUNTIF(A$2:A$765,I161)</f>
        <v>9</v>
      </c>
      <c r="L161">
        <v>8</v>
      </c>
      <c r="M161">
        <v>9</v>
      </c>
      <c r="N161" s="22">
        <v>7.2580645161290328E-2</v>
      </c>
      <c r="O161" s="22">
        <v>0.77419354838709675</v>
      </c>
    </row>
    <row r="162" spans="1:51" x14ac:dyDescent="0.3">
      <c r="A162">
        <v>19</v>
      </c>
      <c r="B162" t="s">
        <v>35</v>
      </c>
      <c r="C162">
        <v>781</v>
      </c>
      <c r="D162" s="1">
        <v>10.1</v>
      </c>
      <c r="E162" s="1">
        <v>32.799999999999997</v>
      </c>
      <c r="F162" t="s">
        <v>35</v>
      </c>
      <c r="H162" t="str">
        <f>VLOOKUP(I162,A32:B796,2,FALSE)</f>
        <v>PHAM</v>
      </c>
      <c r="I162">
        <v>35</v>
      </c>
      <c r="J162">
        <f>COUNTIF(A$2:A$765,I162)</f>
        <v>8</v>
      </c>
      <c r="L162">
        <v>9</v>
      </c>
      <c r="M162">
        <v>5</v>
      </c>
      <c r="N162" s="22">
        <v>4.0322580645161289E-2</v>
      </c>
      <c r="O162" s="22">
        <v>0.81451612903225812</v>
      </c>
    </row>
    <row r="163" spans="1:51" x14ac:dyDescent="0.3">
      <c r="A163">
        <v>19</v>
      </c>
      <c r="B163" t="s">
        <v>35</v>
      </c>
      <c r="C163">
        <v>1084</v>
      </c>
      <c r="D163" s="1">
        <v>5.0999999999999996</v>
      </c>
      <c r="E163" s="1">
        <v>32.799999999999997</v>
      </c>
      <c r="F163" t="s">
        <v>35</v>
      </c>
      <c r="H163" t="str">
        <f>VLOOKUP(I163,A33:B797,2,FALSE)</f>
        <v>PRALIER</v>
      </c>
      <c r="I163">
        <v>36</v>
      </c>
      <c r="J163">
        <f>COUNTIF(A$2:A$765,I163)</f>
        <v>5</v>
      </c>
      <c r="L163">
        <v>10</v>
      </c>
      <c r="M163">
        <v>7</v>
      </c>
      <c r="N163" s="22">
        <v>5.6451612903225805E-2</v>
      </c>
      <c r="O163" s="22">
        <v>0.87096774193548387</v>
      </c>
    </row>
    <row r="164" spans="1:51" x14ac:dyDescent="0.3">
      <c r="A164">
        <v>20</v>
      </c>
      <c r="B164" t="s">
        <v>36</v>
      </c>
      <c r="C164">
        <v>597</v>
      </c>
      <c r="D164" s="1">
        <v>4.9000000000000004</v>
      </c>
      <c r="E164" s="1">
        <v>12.4</v>
      </c>
      <c r="F164" t="s">
        <v>36</v>
      </c>
      <c r="H164" t="str">
        <f>VLOOKUP(I164,A34:B798,2,FALSE)</f>
        <v>BARTHELEMO</v>
      </c>
      <c r="I164">
        <v>37</v>
      </c>
      <c r="J164">
        <f>COUNTIF(A$2:A$765,I164)</f>
        <v>8</v>
      </c>
      <c r="L164">
        <v>11</v>
      </c>
      <c r="M164">
        <v>5</v>
      </c>
      <c r="N164" s="22">
        <v>4.0322580645161289E-2</v>
      </c>
      <c r="O164" s="22">
        <v>0.91129032258064513</v>
      </c>
      <c r="AY164">
        <v>0</v>
      </c>
    </row>
    <row r="165" spans="1:51" x14ac:dyDescent="0.3">
      <c r="A165">
        <v>20</v>
      </c>
      <c r="B165" t="s">
        <v>36</v>
      </c>
      <c r="C165">
        <v>1154</v>
      </c>
      <c r="D165" s="1">
        <v>7.5</v>
      </c>
      <c r="E165" s="1">
        <v>12.4</v>
      </c>
      <c r="F165" t="s">
        <v>36</v>
      </c>
      <c r="H165" t="str">
        <f>VLOOKUP(I165,A35:B799,2,FALSE)</f>
        <v>MURGATTI</v>
      </c>
      <c r="I165">
        <v>38</v>
      </c>
      <c r="J165">
        <f>COUNTIF(A$2:A$765,I165)</f>
        <v>6</v>
      </c>
      <c r="L165">
        <v>12</v>
      </c>
      <c r="M165">
        <v>3</v>
      </c>
      <c r="N165" s="22">
        <v>2.4193548387096774E-2</v>
      </c>
      <c r="O165" s="22">
        <v>0.93548387096774188</v>
      </c>
    </row>
    <row r="166" spans="1:51" x14ac:dyDescent="0.3">
      <c r="A166">
        <v>21</v>
      </c>
      <c r="B166" t="s">
        <v>37</v>
      </c>
      <c r="C166">
        <v>608</v>
      </c>
      <c r="D166" s="1">
        <v>4.9000000000000004</v>
      </c>
      <c r="E166" s="1">
        <v>47.4</v>
      </c>
      <c r="F166" t="s">
        <v>37</v>
      </c>
      <c r="H166" t="str">
        <f>VLOOKUP(I166,A36:B800,2,FALSE)</f>
        <v>PALMAR</v>
      </c>
      <c r="I166">
        <v>39</v>
      </c>
      <c r="J166">
        <f>COUNTIF(A$2:A$765,I166)</f>
        <v>5</v>
      </c>
      <c r="L166">
        <v>13</v>
      </c>
      <c r="M166">
        <v>2</v>
      </c>
      <c r="N166" s="22">
        <v>1.6129032258064516E-2</v>
      </c>
      <c r="O166" s="22">
        <v>0.95161290322580649</v>
      </c>
    </row>
    <row r="167" spans="1:51" x14ac:dyDescent="0.3">
      <c r="A167">
        <v>21</v>
      </c>
      <c r="B167" t="s">
        <v>37</v>
      </c>
      <c r="C167">
        <v>895</v>
      </c>
      <c r="D167" s="1">
        <v>19.2</v>
      </c>
      <c r="E167" s="1">
        <v>47.4</v>
      </c>
      <c r="F167" t="s">
        <v>37</v>
      </c>
      <c r="H167" t="str">
        <f>VLOOKUP(I167,A37:B801,2,FALSE)</f>
        <v>GANRE</v>
      </c>
      <c r="I167">
        <v>40</v>
      </c>
      <c r="J167">
        <f>COUNTIF(A$2:A$765,I167)</f>
        <v>9</v>
      </c>
      <c r="L167">
        <v>14</v>
      </c>
      <c r="M167">
        <v>2</v>
      </c>
      <c r="N167" s="22">
        <v>1.6129032258064516E-2</v>
      </c>
      <c r="O167" s="22">
        <v>0.967741935483871</v>
      </c>
    </row>
    <row r="168" spans="1:51" x14ac:dyDescent="0.3">
      <c r="A168">
        <v>21</v>
      </c>
      <c r="B168" t="s">
        <v>37</v>
      </c>
      <c r="C168">
        <v>1160</v>
      </c>
      <c r="D168" s="1">
        <v>18</v>
      </c>
      <c r="E168" s="1">
        <v>47.4</v>
      </c>
      <c r="F168" t="s">
        <v>37</v>
      </c>
      <c r="H168" t="str">
        <f>VLOOKUP(I168,A38:B802,2,FALSE)</f>
        <v>GARMESSON</v>
      </c>
      <c r="I168">
        <v>41</v>
      </c>
      <c r="J168">
        <f>COUNTIF(A$2:A$765,I168)</f>
        <v>11</v>
      </c>
      <c r="L168">
        <v>15</v>
      </c>
      <c r="M168">
        <v>1</v>
      </c>
      <c r="N168" s="22">
        <v>8.0645161290322578E-3</v>
      </c>
      <c r="O168" s="22">
        <v>0.97580645161290325</v>
      </c>
    </row>
    <row r="169" spans="1:51" x14ac:dyDescent="0.3">
      <c r="A169">
        <v>21</v>
      </c>
      <c r="B169" t="s">
        <v>37</v>
      </c>
      <c r="C169">
        <v>1175</v>
      </c>
      <c r="D169" s="1">
        <v>5.3</v>
      </c>
      <c r="E169" s="1">
        <v>47.4</v>
      </c>
      <c r="F169" t="s">
        <v>37</v>
      </c>
      <c r="H169" t="str">
        <f>VLOOKUP(I169,A39:B803,2,FALSE)</f>
        <v>PIZZA-COMBE</v>
      </c>
      <c r="I169">
        <v>42</v>
      </c>
      <c r="J169">
        <f>COUNTIF(A$2:A$765,I169)</f>
        <v>7</v>
      </c>
      <c r="L169">
        <v>16</v>
      </c>
      <c r="M169">
        <v>1</v>
      </c>
      <c r="N169" s="22">
        <v>8.0645161290322578E-3</v>
      </c>
      <c r="O169" s="22">
        <v>0.9838709677419355</v>
      </c>
    </row>
    <row r="170" spans="1:51" x14ac:dyDescent="0.3">
      <c r="A170">
        <v>22</v>
      </c>
      <c r="B170" t="s">
        <v>38</v>
      </c>
      <c r="C170">
        <v>609</v>
      </c>
      <c r="D170" s="1">
        <v>4.7</v>
      </c>
      <c r="E170" s="1">
        <v>73.8</v>
      </c>
      <c r="F170" t="s">
        <v>38</v>
      </c>
      <c r="H170" t="str">
        <f>VLOOKUP(I170,A40:B804,2,FALSE)</f>
        <v>ROMAGNAL</v>
      </c>
      <c r="I170">
        <v>43</v>
      </c>
      <c r="J170">
        <f>COUNTIF(A$2:A$765,I170)</f>
        <v>10</v>
      </c>
      <c r="L170">
        <v>18</v>
      </c>
      <c r="M170">
        <v>1</v>
      </c>
      <c r="N170" s="22">
        <v>8.0645161290322578E-3</v>
      </c>
      <c r="O170" s="22">
        <v>0.99193548387096775</v>
      </c>
    </row>
    <row r="171" spans="1:51" x14ac:dyDescent="0.3">
      <c r="A171">
        <v>22</v>
      </c>
      <c r="B171" t="s">
        <v>38</v>
      </c>
      <c r="C171">
        <v>803</v>
      </c>
      <c r="D171" s="1">
        <v>11.7</v>
      </c>
      <c r="E171" s="1">
        <v>73.8</v>
      </c>
      <c r="F171" t="s">
        <v>38</v>
      </c>
      <c r="H171" t="str">
        <f>VLOOKUP(I171,A41:B805,2,FALSE)</f>
        <v>BRODERIE</v>
      </c>
      <c r="I171">
        <v>44</v>
      </c>
      <c r="J171">
        <f>COUNTIF(A$2:A$765,I171)</f>
        <v>8</v>
      </c>
      <c r="L171">
        <v>21</v>
      </c>
      <c r="M171">
        <v>1</v>
      </c>
      <c r="N171" s="22">
        <v>8.0645161290322578E-3</v>
      </c>
      <c r="O171" s="22">
        <v>1</v>
      </c>
    </row>
    <row r="172" spans="1:51" x14ac:dyDescent="0.3">
      <c r="A172">
        <v>22</v>
      </c>
      <c r="B172" t="s">
        <v>38</v>
      </c>
      <c r="C172">
        <v>882</v>
      </c>
      <c r="D172" s="1">
        <v>20.5</v>
      </c>
      <c r="E172" s="1">
        <v>73.8</v>
      </c>
      <c r="F172" t="s">
        <v>38</v>
      </c>
      <c r="H172" t="str">
        <f>VLOOKUP(I172,A42:B806,2,FALSE)</f>
        <v>TISSURIER</v>
      </c>
      <c r="I172">
        <v>45</v>
      </c>
      <c r="J172">
        <f>COUNTIF(A$2:A$765,I172)</f>
        <v>4</v>
      </c>
      <c r="L172" t="s">
        <v>143</v>
      </c>
      <c r="M172">
        <v>124</v>
      </c>
      <c r="N172" s="22">
        <v>1</v>
      </c>
      <c r="O172" s="22"/>
    </row>
    <row r="173" spans="1:51" x14ac:dyDescent="0.3">
      <c r="A173">
        <v>22</v>
      </c>
      <c r="B173" t="s">
        <v>38</v>
      </c>
      <c r="C173">
        <v>1106</v>
      </c>
      <c r="D173" s="1">
        <v>13.5</v>
      </c>
      <c r="E173" s="1">
        <v>73.8</v>
      </c>
      <c r="F173" t="s">
        <v>38</v>
      </c>
      <c r="H173" t="str">
        <f>VLOOKUP(I173,A43:B807,2,FALSE)</f>
        <v>LAURENTONI</v>
      </c>
      <c r="I173">
        <v>46</v>
      </c>
      <c r="J173">
        <f>COUNTIF(A$2:A$765,I173)</f>
        <v>4</v>
      </c>
    </row>
    <row r="174" spans="1:51" x14ac:dyDescent="0.3">
      <c r="A174">
        <v>22</v>
      </c>
      <c r="B174" t="s">
        <v>38</v>
      </c>
      <c r="C174">
        <v>1148</v>
      </c>
      <c r="D174" s="1">
        <v>7.5</v>
      </c>
      <c r="E174" s="1">
        <v>73.8</v>
      </c>
      <c r="F174" t="s">
        <v>38</v>
      </c>
      <c r="H174" t="str">
        <f>VLOOKUP(I174,A44:B808,2,FALSE)</f>
        <v>TREDIS</v>
      </c>
      <c r="I174">
        <v>47</v>
      </c>
      <c r="J174">
        <f>COUNTIF(A$2:A$765,I174)</f>
        <v>18</v>
      </c>
    </row>
    <row r="175" spans="1:51" x14ac:dyDescent="0.3">
      <c r="A175">
        <v>22</v>
      </c>
      <c r="B175" t="s">
        <v>38</v>
      </c>
      <c r="C175">
        <v>1161</v>
      </c>
      <c r="D175" s="1">
        <v>5.3</v>
      </c>
      <c r="E175" s="1">
        <v>73.8</v>
      </c>
      <c r="F175" t="s">
        <v>38</v>
      </c>
      <c r="H175" t="str">
        <f>VLOOKUP(I175,A45:B809,2,FALSE)</f>
        <v>GOUFARDE</v>
      </c>
      <c r="I175">
        <v>48</v>
      </c>
      <c r="J175">
        <f>COUNTIF(A$2:A$765,I175)</f>
        <v>13</v>
      </c>
    </row>
    <row r="176" spans="1:51" x14ac:dyDescent="0.3">
      <c r="A176">
        <v>22</v>
      </c>
      <c r="B176" t="s">
        <v>38</v>
      </c>
      <c r="C176">
        <v>1185</v>
      </c>
      <c r="D176" s="1">
        <v>10.6</v>
      </c>
      <c r="E176" s="1">
        <v>73.8</v>
      </c>
      <c r="F176" t="s">
        <v>38</v>
      </c>
      <c r="H176" t="str">
        <f>VLOOKUP(I176,A46:B810,2,FALSE)</f>
        <v>DHAOU</v>
      </c>
      <c r="I176">
        <v>49</v>
      </c>
      <c r="J176">
        <f>COUNTIF(A$2:A$765,I176)</f>
        <v>12</v>
      </c>
    </row>
    <row r="177" spans="1:10" x14ac:dyDescent="0.3">
      <c r="A177">
        <v>23</v>
      </c>
      <c r="B177" t="s">
        <v>39</v>
      </c>
      <c r="C177">
        <v>610</v>
      </c>
      <c r="D177" s="1">
        <v>7.6</v>
      </c>
      <c r="E177" s="1">
        <v>25.7</v>
      </c>
      <c r="F177" t="s">
        <v>39</v>
      </c>
      <c r="H177" t="str">
        <f>VLOOKUP(I177,A47:B811,2,FALSE)</f>
        <v>BOISSIEU</v>
      </c>
      <c r="I177">
        <v>50</v>
      </c>
      <c r="J177">
        <f>COUNTIF(A$2:A$765,I177)</f>
        <v>11</v>
      </c>
    </row>
    <row r="178" spans="1:10" x14ac:dyDescent="0.3">
      <c r="A178">
        <v>23</v>
      </c>
      <c r="B178" t="s">
        <v>39</v>
      </c>
      <c r="C178">
        <v>958</v>
      </c>
      <c r="D178" s="1">
        <v>12.8</v>
      </c>
      <c r="E178" s="1">
        <v>25.7</v>
      </c>
      <c r="F178" t="s">
        <v>39</v>
      </c>
      <c r="H178" t="str">
        <f>VLOOKUP(I178,A48:B812,2,FALSE)</f>
        <v>DELVE</v>
      </c>
      <c r="I178">
        <v>51</v>
      </c>
      <c r="J178">
        <f>COUNTIF(A$2:A$765,I178)</f>
        <v>7</v>
      </c>
    </row>
    <row r="179" spans="1:10" x14ac:dyDescent="0.3">
      <c r="A179">
        <v>23</v>
      </c>
      <c r="B179" t="s">
        <v>39</v>
      </c>
      <c r="C179">
        <v>1261</v>
      </c>
      <c r="D179" s="1">
        <v>5.3</v>
      </c>
      <c r="E179" s="1">
        <v>25.7</v>
      </c>
      <c r="F179" t="s">
        <v>39</v>
      </c>
      <c r="H179" t="str">
        <f>VLOOKUP(I179,A49:B813,2,FALSE)</f>
        <v>LAGOUAR</v>
      </c>
      <c r="I179">
        <v>52</v>
      </c>
      <c r="J179">
        <f>COUNTIF(A$2:A$765,I179)</f>
        <v>10</v>
      </c>
    </row>
    <row r="180" spans="1:10" x14ac:dyDescent="0.3">
      <c r="A180">
        <v>24</v>
      </c>
      <c r="B180" t="s">
        <v>40</v>
      </c>
      <c r="C180">
        <v>611</v>
      </c>
      <c r="D180" s="1">
        <v>7.4</v>
      </c>
      <c r="E180" s="1">
        <v>103.3</v>
      </c>
      <c r="F180" t="s">
        <v>40</v>
      </c>
      <c r="H180" t="str">
        <f>VLOOKUP(I180,A50:B814,2,FALSE)</f>
        <v>AMINI</v>
      </c>
      <c r="I180">
        <v>53</v>
      </c>
      <c r="J180">
        <f>COUNTIF(A$2:A$765,I180)</f>
        <v>8</v>
      </c>
    </row>
    <row r="181" spans="1:10" x14ac:dyDescent="0.3">
      <c r="A181">
        <v>24</v>
      </c>
      <c r="B181" t="s">
        <v>40</v>
      </c>
      <c r="C181">
        <v>886</v>
      </c>
      <c r="D181" s="1">
        <v>11.8</v>
      </c>
      <c r="E181" s="1">
        <v>103.3</v>
      </c>
      <c r="F181" t="s">
        <v>40</v>
      </c>
      <c r="H181" t="str">
        <f>VLOOKUP(I181,A51:B815,2,FALSE)</f>
        <v>MAC AVLEY</v>
      </c>
      <c r="I181">
        <v>54</v>
      </c>
      <c r="J181">
        <f>COUNTIF(A$2:A$765,I181)</f>
        <v>10</v>
      </c>
    </row>
    <row r="182" spans="1:10" x14ac:dyDescent="0.3">
      <c r="A182">
        <v>24</v>
      </c>
      <c r="B182" t="s">
        <v>40</v>
      </c>
      <c r="C182">
        <v>901</v>
      </c>
      <c r="D182" s="1">
        <v>18.100000000000001</v>
      </c>
      <c r="E182" s="1">
        <v>103.3</v>
      </c>
      <c r="F182" t="s">
        <v>40</v>
      </c>
      <c r="H182" t="str">
        <f>VLOOKUP(I182,A52:B816,2,FALSE)</f>
        <v>ETIEVEN</v>
      </c>
      <c r="I182">
        <v>55</v>
      </c>
      <c r="J182">
        <f>COUNTIF(A$2:A$765,I182)</f>
        <v>7</v>
      </c>
    </row>
    <row r="183" spans="1:10" x14ac:dyDescent="0.3">
      <c r="A183">
        <v>24</v>
      </c>
      <c r="B183" t="s">
        <v>40</v>
      </c>
      <c r="C183">
        <v>904</v>
      </c>
      <c r="D183" s="1">
        <v>20.3</v>
      </c>
      <c r="E183" s="1">
        <v>103.3</v>
      </c>
      <c r="F183" t="s">
        <v>40</v>
      </c>
      <c r="H183" t="str">
        <f>VLOOKUP(I183,A53:B817,2,FALSE)</f>
        <v>ANSINITO</v>
      </c>
      <c r="I183">
        <v>56</v>
      </c>
      <c r="J183">
        <f>COUNTIF(A$2:A$765,I183)</f>
        <v>7</v>
      </c>
    </row>
    <row r="184" spans="1:10" x14ac:dyDescent="0.3">
      <c r="A184">
        <v>24</v>
      </c>
      <c r="B184" t="s">
        <v>40</v>
      </c>
      <c r="C184">
        <v>1151</v>
      </c>
      <c r="D184" s="1">
        <v>5.3</v>
      </c>
      <c r="E184" s="1">
        <v>103.3</v>
      </c>
      <c r="F184" t="s">
        <v>40</v>
      </c>
      <c r="H184" t="str">
        <f>VLOOKUP(I184,A54:B818,2,FALSE)</f>
        <v>FOFANA</v>
      </c>
      <c r="I184">
        <v>57</v>
      </c>
      <c r="J184">
        <f>COUNTIF(A$2:A$765,I184)</f>
        <v>3</v>
      </c>
    </row>
    <row r="185" spans="1:10" x14ac:dyDescent="0.3">
      <c r="A185">
        <v>24</v>
      </c>
      <c r="B185" t="s">
        <v>40</v>
      </c>
      <c r="C185">
        <v>1204</v>
      </c>
      <c r="D185" s="1">
        <v>4.2</v>
      </c>
      <c r="E185" s="1">
        <v>103.3</v>
      </c>
      <c r="F185" t="s">
        <v>40</v>
      </c>
      <c r="H185" t="str">
        <f>VLOOKUP(I185,A55:B819,2,FALSE)</f>
        <v>NDIA</v>
      </c>
      <c r="I185">
        <v>58</v>
      </c>
      <c r="J185">
        <f>COUNTIF(A$2:A$765,I185)</f>
        <v>3</v>
      </c>
    </row>
    <row r="186" spans="1:10" x14ac:dyDescent="0.3">
      <c r="A186">
        <v>24</v>
      </c>
      <c r="B186" t="s">
        <v>40</v>
      </c>
      <c r="C186">
        <v>1207</v>
      </c>
      <c r="D186" s="1">
        <v>9.6</v>
      </c>
      <c r="E186" s="1">
        <v>103.3</v>
      </c>
      <c r="F186" t="s">
        <v>40</v>
      </c>
      <c r="H186" t="str">
        <f>VLOOKUP(I186,A56:B820,2,FALSE)</f>
        <v>COLPOMER</v>
      </c>
      <c r="I186">
        <v>59</v>
      </c>
      <c r="J186">
        <f>COUNTIF(A$2:A$765,I186)</f>
        <v>4</v>
      </c>
    </row>
    <row r="187" spans="1:10" x14ac:dyDescent="0.3">
      <c r="A187">
        <v>24</v>
      </c>
      <c r="B187" t="s">
        <v>40</v>
      </c>
      <c r="C187">
        <v>1347</v>
      </c>
      <c r="D187" s="1">
        <v>15</v>
      </c>
      <c r="E187" s="1">
        <v>103.3</v>
      </c>
      <c r="F187" t="s">
        <v>40</v>
      </c>
      <c r="H187" t="str">
        <f>VLOOKUP(I187,A57:B821,2,FALSE)</f>
        <v>MIGUILO</v>
      </c>
      <c r="I187">
        <v>60</v>
      </c>
      <c r="J187">
        <f>COUNTIF(A$2:A$765,I187)</f>
        <v>4</v>
      </c>
    </row>
    <row r="188" spans="1:10" x14ac:dyDescent="0.3">
      <c r="A188">
        <v>24</v>
      </c>
      <c r="B188" t="s">
        <v>40</v>
      </c>
      <c r="C188">
        <v>1350</v>
      </c>
      <c r="D188" s="1">
        <v>6.8</v>
      </c>
      <c r="E188" s="1">
        <v>103.3</v>
      </c>
      <c r="F188" t="s">
        <v>40</v>
      </c>
      <c r="H188" t="str">
        <f>VLOOKUP(I188,A58:B822,2,FALSE)</f>
        <v>DIAL</v>
      </c>
      <c r="I188">
        <v>61</v>
      </c>
      <c r="J188">
        <f>COUNTIF(A$2:A$765,I188)</f>
        <v>1</v>
      </c>
    </row>
    <row r="189" spans="1:10" x14ac:dyDescent="0.3">
      <c r="A189">
        <v>24</v>
      </c>
      <c r="B189" t="s">
        <v>40</v>
      </c>
      <c r="C189">
        <v>1404</v>
      </c>
      <c r="D189" s="1">
        <v>4.8</v>
      </c>
      <c r="E189" s="1">
        <v>103.3</v>
      </c>
      <c r="F189" t="s">
        <v>40</v>
      </c>
      <c r="H189" t="str">
        <f>VLOOKUP(I189,A59:B823,2,FALSE)</f>
        <v>ABDISSACK</v>
      </c>
      <c r="I189">
        <v>62</v>
      </c>
      <c r="J189">
        <f>COUNTIF(A$2:A$765,I189)</f>
        <v>11</v>
      </c>
    </row>
    <row r="190" spans="1:10" x14ac:dyDescent="0.3">
      <c r="A190">
        <v>25</v>
      </c>
      <c r="B190" t="s">
        <v>41</v>
      </c>
      <c r="C190">
        <v>612</v>
      </c>
      <c r="D190" s="1">
        <v>7.8</v>
      </c>
      <c r="E190" s="1">
        <v>49.5</v>
      </c>
      <c r="F190" t="s">
        <v>41</v>
      </c>
      <c r="H190" t="str">
        <f>VLOOKUP(I190,A60:B824,2,FALSE)</f>
        <v>PROPRIOL</v>
      </c>
      <c r="I190">
        <v>63</v>
      </c>
      <c r="J190">
        <f>COUNTIF(A$2:A$765,I190)</f>
        <v>4</v>
      </c>
    </row>
    <row r="191" spans="1:10" x14ac:dyDescent="0.3">
      <c r="A191">
        <v>25</v>
      </c>
      <c r="B191" t="s">
        <v>41</v>
      </c>
      <c r="C191">
        <v>880</v>
      </c>
      <c r="D191" s="1">
        <v>9.9</v>
      </c>
      <c r="E191" s="1">
        <v>49.5</v>
      </c>
      <c r="F191" t="s">
        <v>41</v>
      </c>
      <c r="H191" t="str">
        <f>VLOOKUP(I191,A61:B825,2,FALSE)</f>
        <v>MAGNINI</v>
      </c>
      <c r="I191">
        <v>64</v>
      </c>
      <c r="J191">
        <f>COUNTIF(A$2:A$765,I191)</f>
        <v>4</v>
      </c>
    </row>
    <row r="192" spans="1:10" x14ac:dyDescent="0.3">
      <c r="A192">
        <v>25</v>
      </c>
      <c r="B192" t="s">
        <v>41</v>
      </c>
      <c r="C192">
        <v>906</v>
      </c>
      <c r="D192" s="1">
        <v>12.7</v>
      </c>
      <c r="E192" s="1">
        <v>49.5</v>
      </c>
      <c r="F192" t="s">
        <v>41</v>
      </c>
      <c r="H192" t="str">
        <f>VLOOKUP(I192,A62:B826,2,FALSE)</f>
        <v>HUANG</v>
      </c>
      <c r="I192">
        <v>65</v>
      </c>
      <c r="J192">
        <f>COUNTIF(A$2:A$765,I192)</f>
        <v>2</v>
      </c>
    </row>
    <row r="193" spans="1:10" x14ac:dyDescent="0.3">
      <c r="A193">
        <v>25</v>
      </c>
      <c r="B193" t="s">
        <v>41</v>
      </c>
      <c r="C193">
        <v>1183</v>
      </c>
      <c r="D193" s="1">
        <v>4.8</v>
      </c>
      <c r="E193" s="1">
        <v>49.5</v>
      </c>
      <c r="F193" t="s">
        <v>41</v>
      </c>
      <c r="H193" t="str">
        <f>VLOOKUP(I193,A63:B827,2,FALSE)</f>
        <v>GOUNTU</v>
      </c>
      <c r="I193">
        <v>66</v>
      </c>
      <c r="J193">
        <f>COUNTIF(A$2:A$765,I193)</f>
        <v>2</v>
      </c>
    </row>
    <row r="194" spans="1:10" x14ac:dyDescent="0.3">
      <c r="A194">
        <v>25</v>
      </c>
      <c r="B194" t="s">
        <v>41</v>
      </c>
      <c r="C194">
        <v>1209</v>
      </c>
      <c r="D194" s="1">
        <v>6.8</v>
      </c>
      <c r="E194" s="1">
        <v>49.5</v>
      </c>
      <c r="F194" t="s">
        <v>41</v>
      </c>
      <c r="H194" t="str">
        <f>VLOOKUP(I194,A64:B828,2,FALSE)</f>
        <v>AITLARBI</v>
      </c>
      <c r="I194">
        <v>67</v>
      </c>
      <c r="J194">
        <f>COUNTIF(A$2:A$765,I194)</f>
        <v>11</v>
      </c>
    </row>
    <row r="195" spans="1:10" x14ac:dyDescent="0.3">
      <c r="A195">
        <v>25</v>
      </c>
      <c r="B195" t="s">
        <v>41</v>
      </c>
      <c r="C195">
        <v>1352</v>
      </c>
      <c r="D195" s="1">
        <v>7.5</v>
      </c>
      <c r="E195" s="1">
        <v>49.5</v>
      </c>
      <c r="F195" t="s">
        <v>41</v>
      </c>
      <c r="H195" t="str">
        <f>VLOOKUP(I195,A65:B829,2,FALSE)</f>
        <v>ARNAURY</v>
      </c>
      <c r="I195">
        <v>68</v>
      </c>
      <c r="J195">
        <f>COUNTIF(A$2:A$765,I195)</f>
        <v>3</v>
      </c>
    </row>
    <row r="196" spans="1:10" x14ac:dyDescent="0.3">
      <c r="A196">
        <v>26</v>
      </c>
      <c r="B196" t="s">
        <v>42</v>
      </c>
      <c r="C196">
        <v>613</v>
      </c>
      <c r="D196" s="1">
        <v>7.6</v>
      </c>
      <c r="E196" s="1">
        <v>47.8</v>
      </c>
      <c r="F196" t="s">
        <v>42</v>
      </c>
      <c r="H196" t="str">
        <f>VLOOKUP(I196,A66:B830,2,FALSE)</f>
        <v>BONAGAS</v>
      </c>
      <c r="I196">
        <v>69</v>
      </c>
      <c r="J196">
        <f>COUNTIF(A$2:A$765,I196)</f>
        <v>1</v>
      </c>
    </row>
    <row r="197" spans="1:10" x14ac:dyDescent="0.3">
      <c r="A197">
        <v>26</v>
      </c>
      <c r="B197" t="s">
        <v>42</v>
      </c>
      <c r="C197">
        <v>908</v>
      </c>
      <c r="D197" s="1">
        <v>7.7</v>
      </c>
      <c r="E197" s="1">
        <v>47.8</v>
      </c>
      <c r="F197" t="s">
        <v>42</v>
      </c>
      <c r="H197" t="str">
        <f>VLOOKUP(I197,A67:B831,2,FALSE)</f>
        <v>FLEPY</v>
      </c>
      <c r="I197">
        <v>70</v>
      </c>
      <c r="J197">
        <f>COUNTIF(A$2:A$765,I197)</f>
        <v>2</v>
      </c>
    </row>
    <row r="198" spans="1:10" x14ac:dyDescent="0.3">
      <c r="A198">
        <v>26</v>
      </c>
      <c r="B198" t="s">
        <v>42</v>
      </c>
      <c r="C198">
        <v>959</v>
      </c>
      <c r="D198" s="1">
        <v>7.7</v>
      </c>
      <c r="E198" s="1">
        <v>47.8</v>
      </c>
      <c r="F198" t="s">
        <v>42</v>
      </c>
      <c r="H198" t="str">
        <f>VLOOKUP(I198,A68:B832,2,FALSE)</f>
        <v>KAROLZ</v>
      </c>
      <c r="I198">
        <v>71</v>
      </c>
      <c r="J198">
        <f>COUNTIF(A$2:A$765,I198)</f>
        <v>5</v>
      </c>
    </row>
    <row r="199" spans="1:10" x14ac:dyDescent="0.3">
      <c r="A199">
        <v>26</v>
      </c>
      <c r="B199" t="s">
        <v>42</v>
      </c>
      <c r="C199">
        <v>1211</v>
      </c>
      <c r="D199" s="1">
        <v>7.7</v>
      </c>
      <c r="E199" s="1">
        <v>47.8</v>
      </c>
      <c r="F199" t="s">
        <v>42</v>
      </c>
      <c r="H199" t="str">
        <f>VLOOKUP(I199,A69:B833,2,FALSE)</f>
        <v>MARTIN</v>
      </c>
      <c r="I199">
        <v>72</v>
      </c>
      <c r="J199">
        <f>COUNTIF(A$2:A$765,I199)</f>
        <v>7</v>
      </c>
    </row>
    <row r="200" spans="1:10" x14ac:dyDescent="0.3">
      <c r="A200">
        <v>26</v>
      </c>
      <c r="B200" t="s">
        <v>42</v>
      </c>
      <c r="C200">
        <v>1262</v>
      </c>
      <c r="D200" s="1">
        <v>9.6</v>
      </c>
      <c r="E200" s="1">
        <v>47.8</v>
      </c>
      <c r="F200" t="s">
        <v>42</v>
      </c>
      <c r="H200" t="str">
        <f>VLOOKUP(I200,A70:B834,2,FALSE)</f>
        <v>ONASSIS</v>
      </c>
      <c r="I200">
        <v>73</v>
      </c>
      <c r="J200">
        <f>COUNTIF(A$2:A$765,I200)</f>
        <v>4</v>
      </c>
    </row>
    <row r="201" spans="1:10" x14ac:dyDescent="0.3">
      <c r="A201">
        <v>26</v>
      </c>
      <c r="B201" t="s">
        <v>42</v>
      </c>
      <c r="C201">
        <v>1354</v>
      </c>
      <c r="D201" s="1">
        <v>7.5</v>
      </c>
      <c r="E201" s="1">
        <v>47.8</v>
      </c>
      <c r="F201" t="s">
        <v>42</v>
      </c>
      <c r="H201" t="str">
        <f>VLOOKUP(I201,A71:B835,2,FALSE)</f>
        <v>SIBELLAS</v>
      </c>
      <c r="I201">
        <v>74</v>
      </c>
      <c r="J201">
        <f>COUNTIF(A$2:A$765,I201)</f>
        <v>8</v>
      </c>
    </row>
    <row r="202" spans="1:10" x14ac:dyDescent="0.3">
      <c r="A202">
        <v>27</v>
      </c>
      <c r="B202" t="s">
        <v>43</v>
      </c>
      <c r="C202">
        <v>614</v>
      </c>
      <c r="D202" s="1">
        <v>4.9000000000000004</v>
      </c>
      <c r="E202" s="1">
        <v>33.6</v>
      </c>
      <c r="F202" t="s">
        <v>43</v>
      </c>
      <c r="H202" t="str">
        <f>VLOOKUP(I202,A72:B836,2,FALSE)</f>
        <v>SONIRET</v>
      </c>
      <c r="I202">
        <v>75</v>
      </c>
      <c r="J202">
        <f>COUNTIF(A$2:A$765,I202)</f>
        <v>8</v>
      </c>
    </row>
    <row r="203" spans="1:10" x14ac:dyDescent="0.3">
      <c r="A203">
        <v>27</v>
      </c>
      <c r="B203" t="s">
        <v>43</v>
      </c>
      <c r="C203">
        <v>1189</v>
      </c>
      <c r="D203" s="1">
        <v>8.1999999999999993</v>
      </c>
      <c r="E203" s="1">
        <v>33.6</v>
      </c>
      <c r="F203" t="s">
        <v>43</v>
      </c>
      <c r="H203" t="str">
        <f>VLOOKUP(I203,A73:B837,2,FALSE)</f>
        <v>AMMAR</v>
      </c>
      <c r="I203">
        <v>76</v>
      </c>
      <c r="J203">
        <f>COUNTIF(A$2:A$765,I203)</f>
        <v>6</v>
      </c>
    </row>
    <row r="204" spans="1:10" x14ac:dyDescent="0.3">
      <c r="A204">
        <v>27</v>
      </c>
      <c r="B204" t="s">
        <v>43</v>
      </c>
      <c r="C204">
        <v>1213</v>
      </c>
      <c r="D204" s="1">
        <v>7.7</v>
      </c>
      <c r="E204" s="1">
        <v>33.6</v>
      </c>
      <c r="F204" t="s">
        <v>43</v>
      </c>
      <c r="H204" t="str">
        <f>VLOOKUP(I204,A74:B838,2,FALSE)</f>
        <v>ATIEH</v>
      </c>
      <c r="I204">
        <v>77</v>
      </c>
      <c r="J204">
        <f>COUNTIF(A$2:A$765,I204)</f>
        <v>5</v>
      </c>
    </row>
    <row r="205" spans="1:10" x14ac:dyDescent="0.3">
      <c r="A205">
        <v>27</v>
      </c>
      <c r="B205" t="s">
        <v>43</v>
      </c>
      <c r="C205">
        <v>1263</v>
      </c>
      <c r="D205" s="1">
        <v>7.5</v>
      </c>
      <c r="E205" s="1">
        <v>33.6</v>
      </c>
      <c r="F205" t="s">
        <v>43</v>
      </c>
      <c r="H205" t="str">
        <f>VLOOKUP(I205,A75:B839,2,FALSE)</f>
        <v>AYADITO</v>
      </c>
      <c r="I205">
        <v>78</v>
      </c>
      <c r="J205">
        <f>COUNTIF(A$2:A$765,I205)</f>
        <v>8</v>
      </c>
    </row>
    <row r="206" spans="1:10" x14ac:dyDescent="0.3">
      <c r="A206">
        <v>27</v>
      </c>
      <c r="B206" t="s">
        <v>43</v>
      </c>
      <c r="C206">
        <v>1356</v>
      </c>
      <c r="D206" s="1">
        <v>5.3</v>
      </c>
      <c r="E206" s="1">
        <v>33.6</v>
      </c>
      <c r="F206" t="s">
        <v>43</v>
      </c>
      <c r="H206" t="str">
        <f>VLOOKUP(I206,A76:B840,2,FALSE)</f>
        <v>COPATRA</v>
      </c>
      <c r="I206">
        <v>79</v>
      </c>
      <c r="J206">
        <f>COUNTIF(A$2:A$765,I206)</f>
        <v>4</v>
      </c>
    </row>
    <row r="207" spans="1:10" x14ac:dyDescent="0.3">
      <c r="A207">
        <v>28</v>
      </c>
      <c r="B207" t="s">
        <v>44</v>
      </c>
      <c r="C207">
        <v>589</v>
      </c>
      <c r="D207" s="1">
        <v>10.4</v>
      </c>
      <c r="E207" s="1">
        <v>113.5</v>
      </c>
      <c r="F207" t="s">
        <v>44</v>
      </c>
      <c r="H207" t="str">
        <f>VLOOKUP(I207,A77:B841,2,FALSE)</f>
        <v>GABRIET</v>
      </c>
      <c r="I207">
        <v>80</v>
      </c>
      <c r="J207">
        <f>COUNTIF(A$2:A$765,I207)</f>
        <v>1</v>
      </c>
    </row>
    <row r="208" spans="1:10" x14ac:dyDescent="0.3">
      <c r="A208">
        <v>28</v>
      </c>
      <c r="B208" t="s">
        <v>44</v>
      </c>
      <c r="C208">
        <v>680</v>
      </c>
      <c r="D208" s="1">
        <v>22.2</v>
      </c>
      <c r="E208" s="1">
        <v>113.5</v>
      </c>
      <c r="F208" t="s">
        <v>44</v>
      </c>
      <c r="H208" t="str">
        <f>VLOOKUP(I208,A78:B842,2,FALSE)</f>
        <v>GREFFA</v>
      </c>
      <c r="I208">
        <v>81</v>
      </c>
      <c r="J208">
        <f>COUNTIF(A$2:A$765,I208)</f>
        <v>4</v>
      </c>
    </row>
    <row r="209" spans="1:10" x14ac:dyDescent="0.3">
      <c r="A209">
        <v>28</v>
      </c>
      <c r="B209" t="s">
        <v>44</v>
      </c>
      <c r="C209">
        <v>729</v>
      </c>
      <c r="D209" s="1">
        <v>14.8</v>
      </c>
      <c r="E209" s="1">
        <v>113.5</v>
      </c>
      <c r="F209" t="s">
        <v>44</v>
      </c>
      <c r="H209" t="str">
        <f>VLOOKUP(I209,A79:B843,2,FALSE)</f>
        <v>HAMRA</v>
      </c>
      <c r="I209">
        <v>82</v>
      </c>
      <c r="J209">
        <f>COUNTIF(A$2:A$765,I209)</f>
        <v>12</v>
      </c>
    </row>
    <row r="210" spans="1:10" x14ac:dyDescent="0.3">
      <c r="A210">
        <v>28</v>
      </c>
      <c r="B210" t="s">
        <v>44</v>
      </c>
      <c r="C210">
        <v>858</v>
      </c>
      <c r="D210" s="1">
        <v>15.9</v>
      </c>
      <c r="E210" s="1">
        <v>113.5</v>
      </c>
      <c r="F210" t="s">
        <v>44</v>
      </c>
      <c r="H210" t="str">
        <f>VLOOKUP(I210,A80:B844,2,FALSE)</f>
        <v>KAISER</v>
      </c>
      <c r="I210">
        <v>83</v>
      </c>
      <c r="J210">
        <f>COUNTIF(A$2:A$765,I210)</f>
        <v>3</v>
      </c>
    </row>
    <row r="211" spans="1:10" x14ac:dyDescent="0.3">
      <c r="A211">
        <v>28</v>
      </c>
      <c r="B211" t="s">
        <v>44</v>
      </c>
      <c r="C211">
        <v>867</v>
      </c>
      <c r="D211" s="1">
        <v>5.3</v>
      </c>
      <c r="E211" s="1">
        <v>113.5</v>
      </c>
      <c r="F211" t="s">
        <v>44</v>
      </c>
      <c r="H211" t="str">
        <f>VLOOKUP(I211,A81:B845,2,FALSE)</f>
        <v>KELLER</v>
      </c>
      <c r="I211">
        <v>84</v>
      </c>
      <c r="J211">
        <f>COUNTIF(A$2:A$765,I211)</f>
        <v>1</v>
      </c>
    </row>
    <row r="212" spans="1:10" x14ac:dyDescent="0.3">
      <c r="A212">
        <v>28</v>
      </c>
      <c r="B212" t="s">
        <v>44</v>
      </c>
      <c r="C212">
        <v>1114</v>
      </c>
      <c r="D212" s="1">
        <v>10.4</v>
      </c>
      <c r="E212" s="1">
        <v>113.5</v>
      </c>
      <c r="F212" t="s">
        <v>44</v>
      </c>
      <c r="H212" t="str">
        <f>VLOOKUP(I212,A82:B846,2,FALSE)</f>
        <v>KONATO</v>
      </c>
      <c r="I212">
        <v>85</v>
      </c>
      <c r="J212">
        <f>COUNTIF(A$2:A$765,I212)</f>
        <v>3</v>
      </c>
    </row>
    <row r="213" spans="1:10" x14ac:dyDescent="0.3">
      <c r="A213">
        <v>28</v>
      </c>
      <c r="B213" t="s">
        <v>44</v>
      </c>
      <c r="C213">
        <v>1123</v>
      </c>
      <c r="D213" s="1">
        <v>22.5</v>
      </c>
      <c r="E213" s="1">
        <v>113.5</v>
      </c>
      <c r="F213" t="s">
        <v>44</v>
      </c>
      <c r="H213" t="str">
        <f>VLOOKUP(I213,A83:B847,2,FALSE)</f>
        <v>CHEMIA</v>
      </c>
      <c r="I213">
        <v>86</v>
      </c>
      <c r="J213">
        <f>COUNTIF(A$2:A$765,I213)</f>
        <v>1</v>
      </c>
    </row>
    <row r="214" spans="1:10" x14ac:dyDescent="0.3">
      <c r="A214">
        <v>28</v>
      </c>
      <c r="B214" t="s">
        <v>44</v>
      </c>
      <c r="C214">
        <v>1179</v>
      </c>
      <c r="D214" s="1">
        <v>5.2</v>
      </c>
      <c r="E214" s="1">
        <v>113.5</v>
      </c>
      <c r="F214" t="s">
        <v>44</v>
      </c>
      <c r="H214" t="str">
        <f>VLOOKUP(I214,A84:B848,2,FALSE)</f>
        <v>LENGI</v>
      </c>
      <c r="I214">
        <v>87</v>
      </c>
      <c r="J214">
        <f>COUNTIF(A$2:A$765,I214)</f>
        <v>3</v>
      </c>
    </row>
    <row r="215" spans="1:10" x14ac:dyDescent="0.3">
      <c r="A215">
        <v>28</v>
      </c>
      <c r="B215" t="s">
        <v>44</v>
      </c>
      <c r="C215">
        <v>1414</v>
      </c>
      <c r="D215" s="1">
        <v>6.8</v>
      </c>
      <c r="E215" s="1">
        <v>113.5</v>
      </c>
      <c r="F215" t="s">
        <v>44</v>
      </c>
      <c r="H215" t="str">
        <f>VLOOKUP(I215,A85:B849,2,FALSE)</f>
        <v>LI</v>
      </c>
      <c r="I215">
        <v>88</v>
      </c>
      <c r="J215">
        <f>COUNTIF(A$2:A$765,I215)</f>
        <v>4</v>
      </c>
    </row>
    <row r="216" spans="1:10" x14ac:dyDescent="0.3">
      <c r="A216">
        <v>29</v>
      </c>
      <c r="B216" t="s">
        <v>45</v>
      </c>
      <c r="C216">
        <v>1116</v>
      </c>
      <c r="D216" s="1">
        <v>5.2</v>
      </c>
      <c r="E216" s="1">
        <v>15.8</v>
      </c>
      <c r="F216" t="s">
        <v>45</v>
      </c>
      <c r="H216" t="str">
        <f>VLOOKUP(I216,A86:B850,2,FALSE)</f>
        <v>MEERS</v>
      </c>
      <c r="I216">
        <v>89</v>
      </c>
      <c r="J216">
        <f>COUNTIF(A$2:A$765,I216)</f>
        <v>1</v>
      </c>
    </row>
    <row r="217" spans="1:10" x14ac:dyDescent="0.3">
      <c r="A217">
        <v>29</v>
      </c>
      <c r="B217" t="s">
        <v>45</v>
      </c>
      <c r="C217">
        <v>1163</v>
      </c>
      <c r="D217" s="1">
        <v>10.6</v>
      </c>
      <c r="E217" s="1">
        <v>15.8</v>
      </c>
      <c r="F217" t="s">
        <v>45</v>
      </c>
      <c r="H217" t="str">
        <f>VLOOKUP(I217,A87:B851,2,FALSE)</f>
        <v>MIRILO</v>
      </c>
      <c r="I217">
        <v>90</v>
      </c>
      <c r="J217">
        <f>COUNTIF(A$2:A$765,I217)</f>
        <v>4</v>
      </c>
    </row>
    <row r="218" spans="1:10" x14ac:dyDescent="0.3">
      <c r="A218">
        <v>30</v>
      </c>
      <c r="B218" t="s">
        <v>46</v>
      </c>
      <c r="C218">
        <v>591</v>
      </c>
      <c r="D218" s="1">
        <v>7.4</v>
      </c>
      <c r="E218" s="1">
        <v>54.6</v>
      </c>
      <c r="F218" t="s">
        <v>46</v>
      </c>
      <c r="H218" t="str">
        <f>VLOOKUP(I218,A88:B852,2,FALSE)</f>
        <v>DESSELAM</v>
      </c>
      <c r="I218">
        <v>91</v>
      </c>
      <c r="J218">
        <f>COUNTIF(A$2:A$765,I218)</f>
        <v>4</v>
      </c>
    </row>
    <row r="219" spans="1:10" x14ac:dyDescent="0.3">
      <c r="A219">
        <v>30</v>
      </c>
      <c r="B219" t="s">
        <v>46</v>
      </c>
      <c r="C219">
        <v>684</v>
      </c>
      <c r="D219" s="1">
        <v>5.2</v>
      </c>
      <c r="E219" s="1">
        <v>54.6</v>
      </c>
      <c r="F219" t="s">
        <v>46</v>
      </c>
      <c r="H219" t="str">
        <f>VLOOKUP(I219,A89:B853,2,FALSE)</f>
        <v>PACET</v>
      </c>
      <c r="I219">
        <v>92</v>
      </c>
      <c r="J219">
        <f>COUNTIF(A$2:A$765,I219)</f>
        <v>4</v>
      </c>
    </row>
    <row r="220" spans="1:10" x14ac:dyDescent="0.3">
      <c r="A220">
        <v>30</v>
      </c>
      <c r="B220" t="s">
        <v>46</v>
      </c>
      <c r="C220">
        <v>862</v>
      </c>
      <c r="D220" s="1">
        <v>10.6</v>
      </c>
      <c r="E220" s="1">
        <v>54.6</v>
      </c>
      <c r="F220" t="s">
        <v>46</v>
      </c>
      <c r="H220" t="str">
        <f>VLOOKUP(I220,A90:B854,2,FALSE)</f>
        <v>CERTESSEL</v>
      </c>
      <c r="I220">
        <v>93</v>
      </c>
      <c r="J220">
        <f>COUNTIF(A$2:A$765,I220)</f>
        <v>3</v>
      </c>
    </row>
    <row r="221" spans="1:10" x14ac:dyDescent="0.3">
      <c r="A221">
        <v>30</v>
      </c>
      <c r="B221" t="s">
        <v>46</v>
      </c>
      <c r="C221">
        <v>890</v>
      </c>
      <c r="D221" s="1">
        <v>12.8</v>
      </c>
      <c r="E221" s="1">
        <v>54.6</v>
      </c>
      <c r="F221" t="s">
        <v>46</v>
      </c>
      <c r="H221" t="str">
        <f>VLOOKUP(I221,A91:B855,2,FALSE)</f>
        <v>MARTIN</v>
      </c>
      <c r="I221">
        <v>94</v>
      </c>
      <c r="J221">
        <f>COUNTIF(A$2:A$765,I221)</f>
        <v>2</v>
      </c>
    </row>
    <row r="222" spans="1:10" x14ac:dyDescent="0.3">
      <c r="A222">
        <v>30</v>
      </c>
      <c r="B222" t="s">
        <v>46</v>
      </c>
      <c r="C222">
        <v>1118</v>
      </c>
      <c r="D222" s="1">
        <v>4.0999999999999996</v>
      </c>
      <c r="E222" s="1">
        <v>54.6</v>
      </c>
      <c r="F222" t="s">
        <v>46</v>
      </c>
      <c r="H222" t="str">
        <f>VLOOKUP(I222,A92:B856,2,FALSE)</f>
        <v>MAGNINI</v>
      </c>
      <c r="I222">
        <v>95</v>
      </c>
      <c r="J222">
        <f>COUNTIF(A$2:A$765,I222)</f>
        <v>2</v>
      </c>
    </row>
    <row r="223" spans="1:10" x14ac:dyDescent="0.3">
      <c r="A223">
        <v>30</v>
      </c>
      <c r="B223" t="s">
        <v>46</v>
      </c>
      <c r="C223">
        <v>1155</v>
      </c>
      <c r="D223" s="1">
        <v>7.7</v>
      </c>
      <c r="E223" s="1">
        <v>54.6</v>
      </c>
      <c r="F223" t="s">
        <v>46</v>
      </c>
      <c r="H223" t="str">
        <f>VLOOKUP(I223,A93:B857,2,FALSE)</f>
        <v>MARTIN</v>
      </c>
      <c r="I223">
        <v>96</v>
      </c>
      <c r="J223">
        <f>COUNTIF(A$2:A$765,I223)</f>
        <v>5</v>
      </c>
    </row>
    <row r="224" spans="1:10" x14ac:dyDescent="0.3">
      <c r="A224">
        <v>30</v>
      </c>
      <c r="B224" t="s">
        <v>46</v>
      </c>
      <c r="C224">
        <v>1165</v>
      </c>
      <c r="D224" s="1">
        <v>6.8</v>
      </c>
      <c r="E224" s="1">
        <v>54.6</v>
      </c>
      <c r="F224" t="s">
        <v>46</v>
      </c>
      <c r="H224" t="str">
        <f>VLOOKUP(I224,A94:B858,2,FALSE)</f>
        <v>AMMAR</v>
      </c>
      <c r="I224">
        <v>97</v>
      </c>
      <c r="J224">
        <f>COUNTIF(A$2:A$765,I224)</f>
        <v>4</v>
      </c>
    </row>
    <row r="225" spans="1:10" x14ac:dyDescent="0.3">
      <c r="A225">
        <v>31</v>
      </c>
      <c r="B225" t="s">
        <v>47</v>
      </c>
      <c r="C225">
        <v>598</v>
      </c>
      <c r="D225" s="1">
        <v>10.4</v>
      </c>
      <c r="E225" s="1">
        <v>66.099999999999994</v>
      </c>
      <c r="F225" t="s">
        <v>47</v>
      </c>
      <c r="H225" t="str">
        <f>VLOOKUP(I225,A95:B859,2,FALSE)</f>
        <v>KAISER</v>
      </c>
      <c r="I225">
        <v>98</v>
      </c>
      <c r="J225">
        <f>COUNTIF(A$2:A$765,I225)</f>
        <v>8</v>
      </c>
    </row>
    <row r="226" spans="1:10" x14ac:dyDescent="0.3">
      <c r="A226">
        <v>31</v>
      </c>
      <c r="B226" t="s">
        <v>47</v>
      </c>
      <c r="C226">
        <v>686</v>
      </c>
      <c r="D226" s="1">
        <v>7.4</v>
      </c>
      <c r="E226" s="1">
        <v>66.099999999999994</v>
      </c>
      <c r="F226" t="s">
        <v>47</v>
      </c>
      <c r="H226" t="str">
        <f>VLOOKUP(I226,A96:B860,2,FALSE)</f>
        <v>LENGI</v>
      </c>
      <c r="I226">
        <v>99</v>
      </c>
      <c r="J226">
        <f>COUNTIF(A$2:A$765,I226)</f>
        <v>14</v>
      </c>
    </row>
    <row r="227" spans="1:10" x14ac:dyDescent="0.3">
      <c r="A227">
        <v>31</v>
      </c>
      <c r="B227" t="s">
        <v>47</v>
      </c>
      <c r="C227">
        <v>948</v>
      </c>
      <c r="D227" s="1">
        <v>15.7</v>
      </c>
      <c r="E227" s="1">
        <v>66.099999999999994</v>
      </c>
      <c r="F227" t="s">
        <v>47</v>
      </c>
      <c r="H227" t="str">
        <f>VLOOKUP(I227,A97:B861,2,FALSE)</f>
        <v>LAGOUAR</v>
      </c>
      <c r="I227">
        <v>100</v>
      </c>
      <c r="J227">
        <f>COUNTIF(A$2:A$765,I227)</f>
        <v>6</v>
      </c>
    </row>
    <row r="228" spans="1:10" x14ac:dyDescent="0.3">
      <c r="A228">
        <v>31</v>
      </c>
      <c r="B228" t="s">
        <v>47</v>
      </c>
      <c r="C228">
        <v>1015</v>
      </c>
      <c r="D228" s="1">
        <v>22.1</v>
      </c>
      <c r="E228" s="1">
        <v>66.099999999999994</v>
      </c>
      <c r="F228" t="s">
        <v>47</v>
      </c>
      <c r="H228" t="str">
        <f>VLOOKUP(I228,A98:B862,2,FALSE)</f>
        <v>AMINI</v>
      </c>
      <c r="I228">
        <v>101</v>
      </c>
      <c r="J228">
        <f>COUNTIF(A$2:A$765,I228)</f>
        <v>10</v>
      </c>
    </row>
    <row r="229" spans="1:10" x14ac:dyDescent="0.3">
      <c r="A229">
        <v>31</v>
      </c>
      <c r="B229" t="s">
        <v>47</v>
      </c>
      <c r="C229">
        <v>1318</v>
      </c>
      <c r="D229" s="1">
        <v>5.2</v>
      </c>
      <c r="E229" s="1">
        <v>66.099999999999994</v>
      </c>
      <c r="F229" t="s">
        <v>47</v>
      </c>
      <c r="H229" t="str">
        <f>VLOOKUP(I229,A99:B863,2,FALSE)</f>
        <v>MAC AVLEY</v>
      </c>
      <c r="I229">
        <v>102</v>
      </c>
      <c r="J229">
        <f>COUNTIF(A$2:A$765,I229)</f>
        <v>3</v>
      </c>
    </row>
    <row r="230" spans="1:10" x14ac:dyDescent="0.3">
      <c r="A230">
        <v>31</v>
      </c>
      <c r="B230" t="s">
        <v>47</v>
      </c>
      <c r="C230">
        <v>1340</v>
      </c>
      <c r="D230" s="1">
        <v>5.3</v>
      </c>
      <c r="E230" s="1">
        <v>66.099999999999994</v>
      </c>
      <c r="F230" t="s">
        <v>47</v>
      </c>
      <c r="H230" t="str">
        <f>VLOOKUP(I230,A100:B864,2,FALSE)</f>
        <v>LAGOUAR</v>
      </c>
      <c r="I230">
        <v>103</v>
      </c>
      <c r="J230">
        <f>COUNTIF(A$2:A$765,I230)</f>
        <v>4</v>
      </c>
    </row>
    <row r="231" spans="1:10" x14ac:dyDescent="0.3">
      <c r="A231">
        <v>32</v>
      </c>
      <c r="B231" t="s">
        <v>48</v>
      </c>
      <c r="C231">
        <v>599</v>
      </c>
      <c r="D231" s="1">
        <v>13</v>
      </c>
      <c r="E231" s="1">
        <v>130.30000000000001</v>
      </c>
      <c r="F231" t="s">
        <v>48</v>
      </c>
      <c r="H231" t="str">
        <f>VLOOKUP(I231,A101:B865,2,FALSE)</f>
        <v>AMINI</v>
      </c>
      <c r="I231">
        <v>104</v>
      </c>
      <c r="J231">
        <f>COUNTIF(A$2:A$765,I231)</f>
        <v>2</v>
      </c>
    </row>
    <row r="232" spans="1:10" x14ac:dyDescent="0.3">
      <c r="A232">
        <v>32</v>
      </c>
      <c r="B232" t="s">
        <v>48</v>
      </c>
      <c r="C232">
        <v>688</v>
      </c>
      <c r="D232" s="1">
        <v>9.8000000000000007</v>
      </c>
      <c r="E232" s="1">
        <v>130.30000000000001</v>
      </c>
      <c r="F232" t="s">
        <v>48</v>
      </c>
      <c r="H232" t="str">
        <f>VLOOKUP(I232,A102:B866,2,FALSE)</f>
        <v>MAC AVLEY</v>
      </c>
      <c r="I232">
        <v>105</v>
      </c>
      <c r="J232">
        <f>COUNTIF(A$2:A$765,I232)</f>
        <v>4</v>
      </c>
    </row>
    <row r="233" spans="1:10" x14ac:dyDescent="0.3">
      <c r="A233">
        <v>32</v>
      </c>
      <c r="B233" t="s">
        <v>48</v>
      </c>
      <c r="C233">
        <v>866</v>
      </c>
      <c r="D233" s="1">
        <v>10.6</v>
      </c>
      <c r="E233" s="1">
        <v>130.30000000000001</v>
      </c>
      <c r="F233" t="s">
        <v>48</v>
      </c>
      <c r="H233" t="str">
        <f>VLOOKUP(I233,A103:B867,2,FALSE)</f>
        <v>MARTINI</v>
      </c>
      <c r="I233">
        <v>106</v>
      </c>
      <c r="J233">
        <f>COUNTIF(A$2:A$765,I233)</f>
        <v>4</v>
      </c>
    </row>
    <row r="234" spans="1:10" x14ac:dyDescent="0.3">
      <c r="A234">
        <v>32</v>
      </c>
      <c r="B234" t="s">
        <v>48</v>
      </c>
      <c r="C234">
        <v>896</v>
      </c>
      <c r="D234" s="1">
        <v>24.9</v>
      </c>
      <c r="E234" s="1">
        <v>130.30000000000001</v>
      </c>
      <c r="F234" t="s">
        <v>48</v>
      </c>
      <c r="H234" t="str">
        <f>VLOOKUP(I234,A104:B868,2,FALSE)</f>
        <v>PLOUET</v>
      </c>
      <c r="I234">
        <v>107</v>
      </c>
      <c r="J234">
        <f>COUNTIF(A$2:A$765,I234)</f>
        <v>5</v>
      </c>
    </row>
    <row r="235" spans="1:10" x14ac:dyDescent="0.3">
      <c r="A235">
        <v>32</v>
      </c>
      <c r="B235" t="s">
        <v>48</v>
      </c>
      <c r="C235">
        <v>1017</v>
      </c>
      <c r="D235" s="1">
        <v>7.5</v>
      </c>
      <c r="E235" s="1">
        <v>130.30000000000001</v>
      </c>
      <c r="F235" t="s">
        <v>48</v>
      </c>
      <c r="H235" t="str">
        <f>VLOOKUP(I235,A105:B869,2,FALSE)</f>
        <v>URTADO</v>
      </c>
      <c r="I235">
        <v>108</v>
      </c>
      <c r="J235">
        <f>COUNTIF(A$2:A$765,I235)</f>
        <v>5</v>
      </c>
    </row>
    <row r="236" spans="1:10" x14ac:dyDescent="0.3">
      <c r="A236">
        <v>32</v>
      </c>
      <c r="B236" t="s">
        <v>48</v>
      </c>
      <c r="C236">
        <v>1122</v>
      </c>
      <c r="D236" s="1">
        <v>15</v>
      </c>
      <c r="E236" s="1">
        <v>130.30000000000001</v>
      </c>
      <c r="F236" t="s">
        <v>48</v>
      </c>
      <c r="H236" t="str">
        <f>VLOOKUP(I236,A106:B870,2,FALSE)</f>
        <v>KILMAN</v>
      </c>
      <c r="I236">
        <v>109</v>
      </c>
      <c r="J236">
        <f>COUNTIF(A$2:A$765,I236)</f>
        <v>2</v>
      </c>
    </row>
    <row r="237" spans="1:10" x14ac:dyDescent="0.3">
      <c r="A237">
        <v>32</v>
      </c>
      <c r="B237" t="s">
        <v>48</v>
      </c>
      <c r="C237">
        <v>1169</v>
      </c>
      <c r="D237" s="1">
        <v>5.3</v>
      </c>
      <c r="E237" s="1">
        <v>130.30000000000001</v>
      </c>
      <c r="F237" t="s">
        <v>48</v>
      </c>
      <c r="H237" t="str">
        <f>VLOOKUP(I237,A107:B871,2,FALSE)</f>
        <v>MANUOL</v>
      </c>
      <c r="I237">
        <v>110</v>
      </c>
      <c r="J237">
        <f>COUNTIF(A$2:A$765,I237)</f>
        <v>2</v>
      </c>
    </row>
    <row r="238" spans="1:10" x14ac:dyDescent="0.3">
      <c r="A238">
        <v>32</v>
      </c>
      <c r="B238" t="s">
        <v>48</v>
      </c>
      <c r="C238">
        <v>1199</v>
      </c>
      <c r="D238" s="1">
        <v>17.8</v>
      </c>
      <c r="E238" s="1">
        <v>130.30000000000001</v>
      </c>
      <c r="F238" t="s">
        <v>48</v>
      </c>
      <c r="H238" t="str">
        <f>VLOOKUP(I238,A108:B872,2,FALSE)</f>
        <v>GRANFIL</v>
      </c>
      <c r="I238">
        <v>111</v>
      </c>
      <c r="J238">
        <f>COUNTIF(A$2:A$765,I238)</f>
        <v>7</v>
      </c>
    </row>
    <row r="239" spans="1:10" x14ac:dyDescent="0.3">
      <c r="A239">
        <v>32</v>
      </c>
      <c r="B239" t="s">
        <v>48</v>
      </c>
      <c r="C239">
        <v>1320</v>
      </c>
      <c r="D239" s="1">
        <v>7.5</v>
      </c>
      <c r="E239" s="1">
        <v>130.30000000000001</v>
      </c>
      <c r="F239" t="s">
        <v>48</v>
      </c>
      <c r="H239" t="str">
        <f>VLOOKUP(I239,A109:B873,2,FALSE)</f>
        <v>DUTRONC</v>
      </c>
      <c r="I239">
        <v>112</v>
      </c>
      <c r="J239">
        <f>COUNTIF(A$2:A$765,I239)</f>
        <v>2</v>
      </c>
    </row>
    <row r="240" spans="1:10" x14ac:dyDescent="0.3">
      <c r="A240">
        <v>32</v>
      </c>
      <c r="B240" t="s">
        <v>48</v>
      </c>
      <c r="C240">
        <v>1342</v>
      </c>
      <c r="D240" s="1">
        <v>13.6</v>
      </c>
      <c r="E240" s="1">
        <v>130.30000000000001</v>
      </c>
      <c r="F240" t="s">
        <v>48</v>
      </c>
      <c r="H240" t="str">
        <f>VLOOKUP(I240,A110:B874,2,FALSE)</f>
        <v>CASERO</v>
      </c>
      <c r="I240">
        <v>113</v>
      </c>
      <c r="J240">
        <f>COUNTIF(A$2:A$765,I240)</f>
        <v>7</v>
      </c>
    </row>
    <row r="241" spans="1:10" x14ac:dyDescent="0.3">
      <c r="A241">
        <v>32</v>
      </c>
      <c r="B241" t="s">
        <v>48</v>
      </c>
      <c r="C241">
        <v>1395</v>
      </c>
      <c r="D241" s="1">
        <v>5.3</v>
      </c>
      <c r="E241" s="1">
        <v>130.30000000000001</v>
      </c>
      <c r="F241" t="s">
        <v>48</v>
      </c>
      <c r="H241" t="str">
        <f>VLOOKUP(I241,A111:B875,2,FALSE)</f>
        <v>GIRET</v>
      </c>
      <c r="I241">
        <v>114</v>
      </c>
      <c r="J241">
        <f>COUNTIF(A$2:A$765,I241)</f>
        <v>4</v>
      </c>
    </row>
    <row r="242" spans="1:10" x14ac:dyDescent="0.3">
      <c r="A242">
        <v>33</v>
      </c>
      <c r="B242" t="s">
        <v>49</v>
      </c>
      <c r="C242">
        <v>600</v>
      </c>
      <c r="D242" s="1">
        <v>5.2</v>
      </c>
      <c r="E242" s="1">
        <v>71.400000000000006</v>
      </c>
      <c r="F242" t="s">
        <v>49</v>
      </c>
      <c r="H242" t="str">
        <f>VLOOKUP(I242,A112:B876,2,FALSE)</f>
        <v>LOUARON</v>
      </c>
      <c r="I242">
        <v>115</v>
      </c>
      <c r="J242">
        <f>COUNTIF(A$2:A$765,I242)</f>
        <v>5</v>
      </c>
    </row>
    <row r="243" spans="1:10" x14ac:dyDescent="0.3">
      <c r="A243">
        <v>33</v>
      </c>
      <c r="B243" t="s">
        <v>49</v>
      </c>
      <c r="C243">
        <v>692</v>
      </c>
      <c r="D243" s="1">
        <v>10.4</v>
      </c>
      <c r="E243" s="1">
        <v>71.400000000000006</v>
      </c>
      <c r="F243" t="s">
        <v>49</v>
      </c>
      <c r="H243" t="str">
        <f>VLOOKUP(I243,A113:B877,2,FALSE)</f>
        <v>INITA</v>
      </c>
      <c r="I243">
        <v>116</v>
      </c>
      <c r="J243">
        <f>COUNTIF(A$2:A$765,I243)</f>
        <v>2</v>
      </c>
    </row>
    <row r="244" spans="1:10" x14ac:dyDescent="0.3">
      <c r="A244">
        <v>33</v>
      </c>
      <c r="B244" t="s">
        <v>49</v>
      </c>
      <c r="C244">
        <v>870</v>
      </c>
      <c r="D244" s="1">
        <v>10.1</v>
      </c>
      <c r="E244" s="1">
        <v>71.400000000000006</v>
      </c>
      <c r="F244" t="s">
        <v>49</v>
      </c>
      <c r="H244" t="str">
        <f>VLOOKUP(I244,A114:B878,2,FALSE)</f>
        <v>ALEYI</v>
      </c>
      <c r="I244">
        <v>117</v>
      </c>
      <c r="J244">
        <f>COUNTIF(A$2:A$765,I244)</f>
        <v>4</v>
      </c>
    </row>
    <row r="245" spans="1:10" x14ac:dyDescent="0.3">
      <c r="A245">
        <v>33</v>
      </c>
      <c r="B245" t="s">
        <v>49</v>
      </c>
      <c r="C245">
        <v>950</v>
      </c>
      <c r="D245" s="1">
        <v>6.7</v>
      </c>
      <c r="E245" s="1">
        <v>71.400000000000006</v>
      </c>
      <c r="F245" t="s">
        <v>49</v>
      </c>
      <c r="H245" t="str">
        <f>VLOOKUP(I245,A115:B879,2,FALSE)</f>
        <v>LAGIN</v>
      </c>
      <c r="I245">
        <v>118</v>
      </c>
      <c r="J245">
        <f>COUNTIF(A$2:A$765,I245)</f>
        <v>7</v>
      </c>
    </row>
    <row r="246" spans="1:10" x14ac:dyDescent="0.3">
      <c r="A246">
        <v>33</v>
      </c>
      <c r="B246" t="s">
        <v>49</v>
      </c>
      <c r="C246">
        <v>1019</v>
      </c>
      <c r="D246" s="1">
        <v>13.3</v>
      </c>
      <c r="E246" s="1">
        <v>71.400000000000006</v>
      </c>
      <c r="F246" t="s">
        <v>49</v>
      </c>
      <c r="H246" t="str">
        <f>VLOOKUP(I246,A116:B880,2,FALSE)</f>
        <v>AMONT</v>
      </c>
      <c r="I246">
        <v>119</v>
      </c>
      <c r="J246">
        <f>COUNTIF(A$2:A$765,I246)</f>
        <v>5</v>
      </c>
    </row>
    <row r="247" spans="1:10" x14ac:dyDescent="0.3">
      <c r="A247">
        <v>33</v>
      </c>
      <c r="B247" t="s">
        <v>49</v>
      </c>
      <c r="C247">
        <v>1126</v>
      </c>
      <c r="D247" s="1">
        <v>5.2</v>
      </c>
      <c r="E247" s="1">
        <v>71.400000000000006</v>
      </c>
      <c r="F247" t="s">
        <v>49</v>
      </c>
      <c r="H247" t="str">
        <f>VLOOKUP(I247,A117:B881,2,FALSE)</f>
        <v>MAVULE</v>
      </c>
      <c r="I247">
        <v>120</v>
      </c>
      <c r="J247">
        <f>COUNTIF(A$2:A$765,I247)</f>
        <v>7</v>
      </c>
    </row>
    <row r="248" spans="1:10" x14ac:dyDescent="0.3">
      <c r="A248">
        <v>33</v>
      </c>
      <c r="B248" t="s">
        <v>49</v>
      </c>
      <c r="C248">
        <v>1322</v>
      </c>
      <c r="D248" s="1">
        <v>5.3</v>
      </c>
      <c r="E248" s="1">
        <v>71.400000000000006</v>
      </c>
      <c r="F248" t="s">
        <v>49</v>
      </c>
      <c r="H248" t="str">
        <f>VLOOKUP(I248,A118:B882,2,FALSE)</f>
        <v>TINING</v>
      </c>
      <c r="I248">
        <v>121</v>
      </c>
      <c r="J248">
        <f>COUNTIF(A$2:A$765,I248)</f>
        <v>3</v>
      </c>
    </row>
    <row r="249" spans="1:10" x14ac:dyDescent="0.3">
      <c r="A249">
        <v>33</v>
      </c>
      <c r="B249" t="s">
        <v>49</v>
      </c>
      <c r="C249">
        <v>1344</v>
      </c>
      <c r="D249" s="1">
        <v>7.5</v>
      </c>
      <c r="E249" s="1">
        <v>71.400000000000006</v>
      </c>
      <c r="F249" t="s">
        <v>49</v>
      </c>
      <c r="H249" t="str">
        <f>VLOOKUP(I249,A119:B883,2,FALSE)</f>
        <v>OUETAN</v>
      </c>
      <c r="I249">
        <v>122</v>
      </c>
      <c r="J249">
        <f>COUNTIF(A$2:A$765,I249)</f>
        <v>7</v>
      </c>
    </row>
    <row r="250" spans="1:10" x14ac:dyDescent="0.3">
      <c r="A250">
        <v>33</v>
      </c>
      <c r="B250" t="s">
        <v>49</v>
      </c>
      <c r="C250">
        <v>1400</v>
      </c>
      <c r="D250" s="1">
        <v>7.7</v>
      </c>
      <c r="E250" s="1">
        <v>71.400000000000006</v>
      </c>
      <c r="F250" t="s">
        <v>49</v>
      </c>
      <c r="H250" t="str">
        <f>VLOOKUP(I250,A120:B884,2,FALSE)</f>
        <v>TADOR</v>
      </c>
      <c r="I250">
        <v>123</v>
      </c>
      <c r="J250">
        <f>COUNTIF(A$2:A$765,I250)</f>
        <v>5</v>
      </c>
    </row>
    <row r="251" spans="1:10" x14ac:dyDescent="0.3">
      <c r="A251">
        <v>34</v>
      </c>
      <c r="B251" t="s">
        <v>50</v>
      </c>
      <c r="C251">
        <v>615</v>
      </c>
      <c r="D251" s="1">
        <v>6.5</v>
      </c>
      <c r="E251" s="1">
        <v>90.2</v>
      </c>
      <c r="F251" t="s">
        <v>50</v>
      </c>
      <c r="H251" t="str">
        <f>VLOOKUP(I251,A121:B885,2,FALSE)</f>
        <v>MANUTRET</v>
      </c>
      <c r="I251">
        <v>124</v>
      </c>
      <c r="J251">
        <f>COUNTIF(A$2:A$765,I251)</f>
        <v>4</v>
      </c>
    </row>
    <row r="252" spans="1:10" x14ac:dyDescent="0.3">
      <c r="A252">
        <v>34</v>
      </c>
      <c r="B252" t="s">
        <v>50</v>
      </c>
      <c r="C252">
        <v>697</v>
      </c>
      <c r="D252" s="1">
        <v>14.8</v>
      </c>
      <c r="E252" s="1">
        <v>90.2</v>
      </c>
      <c r="F252" t="s">
        <v>50</v>
      </c>
      <c r="H252" t="str">
        <f>VLOOKUP(I252,A122:B886,2,FALSE)</f>
        <v>KRESWOL</v>
      </c>
      <c r="I252">
        <v>125</v>
      </c>
      <c r="J252">
        <f>COUNTIF(A$2:A$765,I252)</f>
        <v>1</v>
      </c>
    </row>
    <row r="253" spans="1:10" x14ac:dyDescent="0.3">
      <c r="A253">
        <v>34</v>
      </c>
      <c r="B253" t="s">
        <v>50</v>
      </c>
      <c r="C253">
        <v>871</v>
      </c>
      <c r="D253" s="1">
        <v>6.7</v>
      </c>
      <c r="E253" s="1">
        <v>90.2</v>
      </c>
      <c r="F253" t="s">
        <v>50</v>
      </c>
      <c r="H253" t="str">
        <f>VLOOKUP(I253,A123:B887,2,FALSE)</f>
        <v>GRANDPOIS</v>
      </c>
      <c r="I253">
        <v>126</v>
      </c>
      <c r="J253">
        <f>COUNTIF(A$2:A$765,I253)</f>
        <v>1</v>
      </c>
    </row>
    <row r="254" spans="1:10" x14ac:dyDescent="0.3">
      <c r="A254">
        <v>34</v>
      </c>
      <c r="B254" t="s">
        <v>50</v>
      </c>
      <c r="C254">
        <v>961</v>
      </c>
      <c r="D254" s="1">
        <v>12</v>
      </c>
      <c r="E254" s="1">
        <v>90.2</v>
      </c>
      <c r="F254" t="s">
        <v>50</v>
      </c>
      <c r="H254" t="str">
        <f>VLOOKUP(I254,A124:B888,2,FALSE)</f>
        <v>DONCHY</v>
      </c>
      <c r="I254">
        <v>127</v>
      </c>
      <c r="J254">
        <f>COUNTIF(A$2:A$765,I254)</f>
        <v>7</v>
      </c>
    </row>
    <row r="255" spans="1:10" x14ac:dyDescent="0.3">
      <c r="A255">
        <v>34</v>
      </c>
      <c r="B255" t="s">
        <v>50</v>
      </c>
      <c r="C255">
        <v>1024</v>
      </c>
      <c r="D255" s="1">
        <v>12</v>
      </c>
      <c r="E255" s="1">
        <v>90.2</v>
      </c>
      <c r="F255" t="s">
        <v>50</v>
      </c>
    </row>
    <row r="256" spans="1:10" x14ac:dyDescent="0.3">
      <c r="A256">
        <v>34</v>
      </c>
      <c r="B256" t="s">
        <v>50</v>
      </c>
      <c r="C256">
        <v>1127</v>
      </c>
      <c r="D256" s="1">
        <v>5.3</v>
      </c>
      <c r="E256" s="1">
        <v>90.2</v>
      </c>
      <c r="F256" t="s">
        <v>50</v>
      </c>
    </row>
    <row r="257" spans="1:6" x14ac:dyDescent="0.3">
      <c r="A257">
        <v>34</v>
      </c>
      <c r="B257" t="s">
        <v>50</v>
      </c>
      <c r="C257">
        <v>1244</v>
      </c>
      <c r="D257" s="1">
        <v>12.7</v>
      </c>
      <c r="E257" s="1">
        <v>90.2</v>
      </c>
      <c r="F257" t="s">
        <v>50</v>
      </c>
    </row>
    <row r="258" spans="1:6" x14ac:dyDescent="0.3">
      <c r="A258">
        <v>34</v>
      </c>
      <c r="B258" t="s">
        <v>50</v>
      </c>
      <c r="C258">
        <v>1327</v>
      </c>
      <c r="D258" s="1">
        <v>5.2</v>
      </c>
      <c r="E258" s="1">
        <v>90.2</v>
      </c>
      <c r="F258" t="s">
        <v>50</v>
      </c>
    </row>
    <row r="259" spans="1:6" x14ac:dyDescent="0.3">
      <c r="A259">
        <v>34</v>
      </c>
      <c r="B259" t="s">
        <v>50</v>
      </c>
      <c r="C259">
        <v>1387</v>
      </c>
      <c r="D259" s="1">
        <v>15</v>
      </c>
      <c r="E259" s="1">
        <v>90.2</v>
      </c>
      <c r="F259" t="s">
        <v>50</v>
      </c>
    </row>
    <row r="260" spans="1:6" x14ac:dyDescent="0.3">
      <c r="A260">
        <v>35</v>
      </c>
      <c r="B260" t="s">
        <v>51</v>
      </c>
      <c r="C260">
        <v>616</v>
      </c>
      <c r="D260" s="1">
        <v>10.4</v>
      </c>
      <c r="E260" s="1">
        <v>76.900000000000006</v>
      </c>
      <c r="F260" t="s">
        <v>51</v>
      </c>
    </row>
    <row r="261" spans="1:6" x14ac:dyDescent="0.3">
      <c r="A261">
        <v>35</v>
      </c>
      <c r="B261" t="s">
        <v>51</v>
      </c>
      <c r="C261">
        <v>702</v>
      </c>
      <c r="D261" s="1">
        <v>5.2</v>
      </c>
      <c r="E261" s="1">
        <v>76.900000000000006</v>
      </c>
      <c r="F261" t="s">
        <v>51</v>
      </c>
    </row>
    <row r="262" spans="1:6" x14ac:dyDescent="0.3">
      <c r="A262">
        <v>35</v>
      </c>
      <c r="B262" t="s">
        <v>51</v>
      </c>
      <c r="C262">
        <v>782</v>
      </c>
      <c r="D262" s="1">
        <v>15.3</v>
      </c>
      <c r="E262" s="1">
        <v>76.900000000000006</v>
      </c>
      <c r="F262" t="s">
        <v>51</v>
      </c>
    </row>
    <row r="263" spans="1:6" x14ac:dyDescent="0.3">
      <c r="A263">
        <v>35</v>
      </c>
      <c r="B263" t="s">
        <v>51</v>
      </c>
      <c r="C263">
        <v>962</v>
      </c>
      <c r="D263" s="1">
        <v>11.5</v>
      </c>
      <c r="E263" s="1">
        <v>76.900000000000006</v>
      </c>
      <c r="F263" t="s">
        <v>51</v>
      </c>
    </row>
    <row r="264" spans="1:6" x14ac:dyDescent="0.3">
      <c r="A264">
        <v>35</v>
      </c>
      <c r="B264" t="s">
        <v>51</v>
      </c>
      <c r="C264">
        <v>1029</v>
      </c>
      <c r="D264" s="1">
        <v>13.3</v>
      </c>
      <c r="E264" s="1">
        <v>76.900000000000006</v>
      </c>
      <c r="F264" t="s">
        <v>51</v>
      </c>
    </row>
    <row r="265" spans="1:6" x14ac:dyDescent="0.3">
      <c r="A265">
        <v>35</v>
      </c>
      <c r="B265" t="s">
        <v>51</v>
      </c>
      <c r="C265">
        <v>1085</v>
      </c>
      <c r="D265" s="1">
        <v>4.0999999999999996</v>
      </c>
      <c r="E265" s="1">
        <v>76.900000000000006</v>
      </c>
      <c r="F265" t="s">
        <v>51</v>
      </c>
    </row>
    <row r="266" spans="1:6" x14ac:dyDescent="0.3">
      <c r="A266">
        <v>35</v>
      </c>
      <c r="B266" t="s">
        <v>51</v>
      </c>
      <c r="C266">
        <v>1245</v>
      </c>
      <c r="D266" s="1">
        <v>9.6</v>
      </c>
      <c r="E266" s="1">
        <v>76.900000000000006</v>
      </c>
      <c r="F266" t="s">
        <v>51</v>
      </c>
    </row>
    <row r="267" spans="1:6" x14ac:dyDescent="0.3">
      <c r="A267">
        <v>35</v>
      </c>
      <c r="B267" t="s">
        <v>51</v>
      </c>
      <c r="C267">
        <v>1332</v>
      </c>
      <c r="D267" s="1">
        <v>7.5</v>
      </c>
      <c r="E267" s="1">
        <v>76.900000000000006</v>
      </c>
      <c r="F267" t="s">
        <v>51</v>
      </c>
    </row>
    <row r="268" spans="1:6" x14ac:dyDescent="0.3">
      <c r="A268">
        <v>36</v>
      </c>
      <c r="B268" t="s">
        <v>52</v>
      </c>
      <c r="C268">
        <v>617</v>
      </c>
      <c r="D268" s="1">
        <v>20.6</v>
      </c>
      <c r="E268" s="1">
        <v>54</v>
      </c>
      <c r="F268" t="s">
        <v>52</v>
      </c>
    </row>
    <row r="269" spans="1:6" x14ac:dyDescent="0.3">
      <c r="A269">
        <v>36</v>
      </c>
      <c r="B269" t="s">
        <v>52</v>
      </c>
      <c r="C269">
        <v>708</v>
      </c>
      <c r="D269" s="1">
        <v>9.8000000000000007</v>
      </c>
      <c r="E269" s="1">
        <v>54</v>
      </c>
      <c r="F269" t="s">
        <v>52</v>
      </c>
    </row>
    <row r="270" spans="1:6" x14ac:dyDescent="0.3">
      <c r="A270">
        <v>36</v>
      </c>
      <c r="B270" t="s">
        <v>52</v>
      </c>
      <c r="C270">
        <v>783</v>
      </c>
      <c r="D270" s="1">
        <v>7.7</v>
      </c>
      <c r="E270" s="1">
        <v>54</v>
      </c>
      <c r="F270" t="s">
        <v>52</v>
      </c>
    </row>
    <row r="271" spans="1:6" x14ac:dyDescent="0.3">
      <c r="A271">
        <v>36</v>
      </c>
      <c r="B271" t="s">
        <v>52</v>
      </c>
      <c r="C271">
        <v>1032</v>
      </c>
      <c r="D271" s="1">
        <v>5.3</v>
      </c>
      <c r="E271" s="1">
        <v>54</v>
      </c>
      <c r="F271" t="s">
        <v>52</v>
      </c>
    </row>
    <row r="272" spans="1:6" x14ac:dyDescent="0.3">
      <c r="A272">
        <v>36</v>
      </c>
      <c r="B272" t="s">
        <v>52</v>
      </c>
      <c r="C272">
        <v>1086</v>
      </c>
      <c r="D272" s="1">
        <v>10.6</v>
      </c>
      <c r="E272" s="1">
        <v>54</v>
      </c>
      <c r="F272" t="s">
        <v>52</v>
      </c>
    </row>
    <row r="273" spans="1:6" x14ac:dyDescent="0.3">
      <c r="A273">
        <v>37</v>
      </c>
      <c r="B273" t="s">
        <v>53</v>
      </c>
      <c r="C273">
        <v>618</v>
      </c>
      <c r="D273" s="1">
        <v>4.9000000000000004</v>
      </c>
      <c r="E273" s="1">
        <v>81.7</v>
      </c>
      <c r="F273" t="s">
        <v>53</v>
      </c>
    </row>
    <row r="274" spans="1:6" x14ac:dyDescent="0.3">
      <c r="A274">
        <v>37</v>
      </c>
      <c r="B274" t="s">
        <v>53</v>
      </c>
      <c r="C274">
        <v>714</v>
      </c>
      <c r="D274" s="1">
        <v>13</v>
      </c>
      <c r="E274" s="1">
        <v>81.7</v>
      </c>
      <c r="F274" t="s">
        <v>53</v>
      </c>
    </row>
    <row r="275" spans="1:6" x14ac:dyDescent="0.3">
      <c r="A275">
        <v>37</v>
      </c>
      <c r="B275" t="s">
        <v>53</v>
      </c>
      <c r="C275">
        <v>823</v>
      </c>
      <c r="D275" s="1">
        <v>31.8</v>
      </c>
      <c r="E275" s="1">
        <v>81.7</v>
      </c>
      <c r="F275" t="s">
        <v>53</v>
      </c>
    </row>
    <row r="276" spans="1:6" x14ac:dyDescent="0.3">
      <c r="A276">
        <v>37</v>
      </c>
      <c r="B276" t="s">
        <v>53</v>
      </c>
      <c r="C276">
        <v>827</v>
      </c>
      <c r="D276" s="1">
        <v>7.7</v>
      </c>
      <c r="E276" s="1">
        <v>81.7</v>
      </c>
      <c r="F276" t="s">
        <v>53</v>
      </c>
    </row>
    <row r="277" spans="1:6" x14ac:dyDescent="0.3">
      <c r="A277">
        <v>37</v>
      </c>
      <c r="B277" t="s">
        <v>53</v>
      </c>
      <c r="C277">
        <v>964</v>
      </c>
      <c r="D277" s="1">
        <v>7.5</v>
      </c>
      <c r="E277" s="1">
        <v>81.7</v>
      </c>
      <c r="F277" t="s">
        <v>53</v>
      </c>
    </row>
    <row r="278" spans="1:6" x14ac:dyDescent="0.3">
      <c r="A278">
        <v>37</v>
      </c>
      <c r="B278" t="s">
        <v>53</v>
      </c>
      <c r="C278">
        <v>1038</v>
      </c>
      <c r="D278" s="1">
        <v>5.0999999999999996</v>
      </c>
      <c r="E278" s="1">
        <v>81.7</v>
      </c>
      <c r="F278" t="s">
        <v>53</v>
      </c>
    </row>
    <row r="279" spans="1:6" x14ac:dyDescent="0.3">
      <c r="A279">
        <v>37</v>
      </c>
      <c r="B279" t="s">
        <v>53</v>
      </c>
      <c r="C279">
        <v>1247</v>
      </c>
      <c r="D279" s="1">
        <v>7.7</v>
      </c>
      <c r="E279" s="1">
        <v>81.7</v>
      </c>
      <c r="F279" t="s">
        <v>53</v>
      </c>
    </row>
    <row r="280" spans="1:6" x14ac:dyDescent="0.3">
      <c r="A280">
        <v>37</v>
      </c>
      <c r="B280" t="s">
        <v>53</v>
      </c>
      <c r="C280">
        <v>1407</v>
      </c>
      <c r="D280" s="1">
        <v>4</v>
      </c>
      <c r="E280" s="1">
        <v>81.7</v>
      </c>
      <c r="F280" t="s">
        <v>53</v>
      </c>
    </row>
    <row r="281" spans="1:6" x14ac:dyDescent="0.3">
      <c r="A281">
        <v>38</v>
      </c>
      <c r="B281" t="s">
        <v>54</v>
      </c>
      <c r="C281">
        <v>619</v>
      </c>
      <c r="D281" s="1">
        <v>19.5</v>
      </c>
      <c r="E281" s="1">
        <v>64.5</v>
      </c>
      <c r="F281" t="s">
        <v>54</v>
      </c>
    </row>
    <row r="282" spans="1:6" x14ac:dyDescent="0.3">
      <c r="A282">
        <v>38</v>
      </c>
      <c r="B282" t="s">
        <v>54</v>
      </c>
      <c r="C282">
        <v>720</v>
      </c>
      <c r="D282" s="1">
        <v>7.4</v>
      </c>
      <c r="E282" s="1">
        <v>64.5</v>
      </c>
      <c r="F282" t="s">
        <v>54</v>
      </c>
    </row>
    <row r="283" spans="1:6" x14ac:dyDescent="0.3">
      <c r="A283">
        <v>38</v>
      </c>
      <c r="B283" t="s">
        <v>54</v>
      </c>
      <c r="C283">
        <v>788</v>
      </c>
      <c r="D283" s="1">
        <v>15.4</v>
      </c>
      <c r="E283" s="1">
        <v>64.5</v>
      </c>
      <c r="F283" t="s">
        <v>54</v>
      </c>
    </row>
    <row r="284" spans="1:6" x14ac:dyDescent="0.3">
      <c r="A284">
        <v>38</v>
      </c>
      <c r="B284" t="s">
        <v>54</v>
      </c>
      <c r="C284">
        <v>1091</v>
      </c>
      <c r="D284" s="1">
        <v>4.8</v>
      </c>
      <c r="E284" s="1">
        <v>64.5</v>
      </c>
      <c r="F284" t="s">
        <v>54</v>
      </c>
    </row>
    <row r="285" spans="1:6" x14ac:dyDescent="0.3">
      <c r="A285">
        <v>38</v>
      </c>
      <c r="B285" t="s">
        <v>54</v>
      </c>
      <c r="C285">
        <v>1133</v>
      </c>
      <c r="D285" s="1">
        <v>10.6</v>
      </c>
      <c r="E285" s="1">
        <v>64.5</v>
      </c>
      <c r="F285" t="s">
        <v>54</v>
      </c>
    </row>
    <row r="286" spans="1:6" x14ac:dyDescent="0.3">
      <c r="A286">
        <v>38</v>
      </c>
      <c r="B286" t="s">
        <v>54</v>
      </c>
      <c r="C286">
        <v>1248</v>
      </c>
      <c r="D286" s="1">
        <v>6.8</v>
      </c>
      <c r="E286" s="1">
        <v>64.5</v>
      </c>
      <c r="F286" t="s">
        <v>54</v>
      </c>
    </row>
    <row r="287" spans="1:6" x14ac:dyDescent="0.3">
      <c r="A287">
        <v>39</v>
      </c>
      <c r="B287" t="s">
        <v>55</v>
      </c>
      <c r="C287">
        <v>620</v>
      </c>
      <c r="D287" s="1">
        <v>7.4</v>
      </c>
      <c r="E287" s="1">
        <v>65</v>
      </c>
      <c r="F287" t="s">
        <v>55</v>
      </c>
    </row>
    <row r="288" spans="1:6" x14ac:dyDescent="0.3">
      <c r="A288">
        <v>39</v>
      </c>
      <c r="B288" t="s">
        <v>55</v>
      </c>
      <c r="C288">
        <v>726</v>
      </c>
      <c r="D288" s="1">
        <v>15.6</v>
      </c>
      <c r="E288" s="1">
        <v>65</v>
      </c>
      <c r="F288" t="s">
        <v>55</v>
      </c>
    </row>
    <row r="289" spans="1:6" x14ac:dyDescent="0.3">
      <c r="A289">
        <v>39</v>
      </c>
      <c r="B289" t="s">
        <v>55</v>
      </c>
      <c r="C289">
        <v>966</v>
      </c>
      <c r="D289" s="1">
        <v>17.3</v>
      </c>
      <c r="E289" s="1">
        <v>65</v>
      </c>
      <c r="F289" t="s">
        <v>55</v>
      </c>
    </row>
    <row r="290" spans="1:6" x14ac:dyDescent="0.3">
      <c r="A290">
        <v>39</v>
      </c>
      <c r="B290" t="s">
        <v>55</v>
      </c>
      <c r="C290">
        <v>1046</v>
      </c>
      <c r="D290" s="1">
        <v>15.5</v>
      </c>
      <c r="E290" s="1">
        <v>65</v>
      </c>
      <c r="F290" t="s">
        <v>55</v>
      </c>
    </row>
    <row r="291" spans="1:6" x14ac:dyDescent="0.3">
      <c r="A291">
        <v>39</v>
      </c>
      <c r="B291" t="s">
        <v>55</v>
      </c>
      <c r="C291">
        <v>1249</v>
      </c>
      <c r="D291" s="1">
        <v>9.1999999999999993</v>
      </c>
      <c r="E291" s="1">
        <v>65</v>
      </c>
      <c r="F291" t="s">
        <v>55</v>
      </c>
    </row>
    <row r="292" spans="1:6" x14ac:dyDescent="0.3">
      <c r="A292">
        <v>40</v>
      </c>
      <c r="B292" t="s">
        <v>56</v>
      </c>
      <c r="C292">
        <v>621</v>
      </c>
      <c r="D292" s="1">
        <v>15</v>
      </c>
      <c r="E292" s="1">
        <v>102</v>
      </c>
      <c r="F292" t="s">
        <v>56</v>
      </c>
    </row>
    <row r="293" spans="1:6" x14ac:dyDescent="0.3">
      <c r="A293">
        <v>40</v>
      </c>
      <c r="B293" t="s">
        <v>56</v>
      </c>
      <c r="C293">
        <v>731</v>
      </c>
      <c r="D293" s="1">
        <v>7.6</v>
      </c>
      <c r="E293" s="1">
        <v>102</v>
      </c>
      <c r="F293" t="s">
        <v>56</v>
      </c>
    </row>
    <row r="294" spans="1:6" x14ac:dyDescent="0.3">
      <c r="A294">
        <v>40</v>
      </c>
      <c r="B294" t="s">
        <v>56</v>
      </c>
      <c r="C294">
        <v>792</v>
      </c>
      <c r="D294" s="1">
        <v>13.4</v>
      </c>
      <c r="E294" s="1">
        <v>102</v>
      </c>
      <c r="F294" t="s">
        <v>56</v>
      </c>
    </row>
    <row r="295" spans="1:6" x14ac:dyDescent="0.3">
      <c r="A295">
        <v>40</v>
      </c>
      <c r="B295" t="s">
        <v>56</v>
      </c>
      <c r="C295">
        <v>829</v>
      </c>
      <c r="D295" s="1">
        <v>9.6</v>
      </c>
      <c r="E295" s="1">
        <v>102</v>
      </c>
      <c r="F295" t="s">
        <v>56</v>
      </c>
    </row>
    <row r="296" spans="1:6" x14ac:dyDescent="0.3">
      <c r="A296">
        <v>40</v>
      </c>
      <c r="B296" t="s">
        <v>56</v>
      </c>
      <c r="C296">
        <v>967</v>
      </c>
      <c r="D296" s="1">
        <v>10.199999999999999</v>
      </c>
      <c r="E296" s="1">
        <v>102</v>
      </c>
      <c r="F296" t="s">
        <v>56</v>
      </c>
    </row>
    <row r="297" spans="1:6" x14ac:dyDescent="0.3">
      <c r="A297">
        <v>40</v>
      </c>
      <c r="B297" t="s">
        <v>56</v>
      </c>
      <c r="C297">
        <v>1095</v>
      </c>
      <c r="D297" s="1">
        <v>20.399999999999999</v>
      </c>
      <c r="E297" s="1">
        <v>102</v>
      </c>
      <c r="F297" t="s">
        <v>56</v>
      </c>
    </row>
    <row r="298" spans="1:6" x14ac:dyDescent="0.3">
      <c r="A298">
        <v>40</v>
      </c>
      <c r="B298" t="s">
        <v>56</v>
      </c>
      <c r="C298">
        <v>1099</v>
      </c>
      <c r="D298" s="1">
        <v>7.5</v>
      </c>
      <c r="E298" s="1">
        <v>102</v>
      </c>
      <c r="F298" t="s">
        <v>56</v>
      </c>
    </row>
    <row r="299" spans="1:6" x14ac:dyDescent="0.3">
      <c r="A299">
        <v>40</v>
      </c>
      <c r="B299" t="s">
        <v>56</v>
      </c>
      <c r="C299">
        <v>1137</v>
      </c>
      <c r="D299" s="1">
        <v>7.7</v>
      </c>
      <c r="E299" s="1">
        <v>102</v>
      </c>
      <c r="F299" t="s">
        <v>56</v>
      </c>
    </row>
    <row r="300" spans="1:6" x14ac:dyDescent="0.3">
      <c r="A300">
        <v>40</v>
      </c>
      <c r="B300" t="s">
        <v>56</v>
      </c>
      <c r="C300">
        <v>1250</v>
      </c>
      <c r="D300" s="1">
        <v>10.6</v>
      </c>
      <c r="E300" s="1">
        <v>102</v>
      </c>
      <c r="F300" t="s">
        <v>56</v>
      </c>
    </row>
    <row r="301" spans="1:6" x14ac:dyDescent="0.3">
      <c r="A301">
        <v>41</v>
      </c>
      <c r="B301" t="s">
        <v>57</v>
      </c>
      <c r="C301">
        <v>624</v>
      </c>
      <c r="D301" s="1">
        <v>9.4</v>
      </c>
      <c r="E301" s="1">
        <v>109.1</v>
      </c>
      <c r="F301" t="s">
        <v>57</v>
      </c>
    </row>
    <row r="302" spans="1:6" x14ac:dyDescent="0.3">
      <c r="A302">
        <v>41</v>
      </c>
      <c r="B302" t="s">
        <v>57</v>
      </c>
      <c r="C302">
        <v>629</v>
      </c>
      <c r="D302" s="1">
        <v>10.4</v>
      </c>
      <c r="E302" s="1">
        <v>109.1</v>
      </c>
      <c r="F302" t="s">
        <v>57</v>
      </c>
    </row>
    <row r="303" spans="1:6" x14ac:dyDescent="0.3">
      <c r="A303">
        <v>41</v>
      </c>
      <c r="B303" t="s">
        <v>57</v>
      </c>
      <c r="C303">
        <v>716</v>
      </c>
      <c r="D303" s="1">
        <v>15</v>
      </c>
      <c r="E303" s="1">
        <v>109.1</v>
      </c>
      <c r="F303" t="s">
        <v>57</v>
      </c>
    </row>
    <row r="304" spans="1:6" x14ac:dyDescent="0.3">
      <c r="A304">
        <v>41</v>
      </c>
      <c r="B304" t="s">
        <v>57</v>
      </c>
      <c r="C304">
        <v>736</v>
      </c>
      <c r="D304" s="1">
        <v>7.4</v>
      </c>
      <c r="E304" s="1">
        <v>109.1</v>
      </c>
      <c r="F304" t="s">
        <v>57</v>
      </c>
    </row>
    <row r="305" spans="1:6" x14ac:dyDescent="0.3">
      <c r="A305">
        <v>41</v>
      </c>
      <c r="B305" t="s">
        <v>57</v>
      </c>
      <c r="C305">
        <v>938</v>
      </c>
      <c r="D305" s="1">
        <v>18.7</v>
      </c>
      <c r="E305" s="1">
        <v>109.1</v>
      </c>
      <c r="F305" t="s">
        <v>57</v>
      </c>
    </row>
    <row r="306" spans="1:6" x14ac:dyDescent="0.3">
      <c r="A306">
        <v>41</v>
      </c>
      <c r="B306" t="s">
        <v>57</v>
      </c>
      <c r="C306">
        <v>1040</v>
      </c>
      <c r="D306" s="1">
        <v>15.2</v>
      </c>
      <c r="E306" s="1">
        <v>109.1</v>
      </c>
      <c r="F306" t="s">
        <v>57</v>
      </c>
    </row>
    <row r="307" spans="1:6" x14ac:dyDescent="0.3">
      <c r="A307">
        <v>41</v>
      </c>
      <c r="B307" t="s">
        <v>57</v>
      </c>
      <c r="C307">
        <v>1141</v>
      </c>
      <c r="D307" s="1">
        <v>5.3</v>
      </c>
      <c r="E307" s="1">
        <v>109.1</v>
      </c>
      <c r="F307" t="s">
        <v>57</v>
      </c>
    </row>
    <row r="308" spans="1:6" x14ac:dyDescent="0.3">
      <c r="A308">
        <v>41</v>
      </c>
      <c r="B308" t="s">
        <v>57</v>
      </c>
      <c r="C308">
        <v>1198</v>
      </c>
      <c r="D308" s="1">
        <v>9.6</v>
      </c>
      <c r="E308" s="1">
        <v>109.1</v>
      </c>
      <c r="F308" t="s">
        <v>57</v>
      </c>
    </row>
    <row r="309" spans="1:6" x14ac:dyDescent="0.3">
      <c r="A309">
        <v>41</v>
      </c>
      <c r="B309" t="s">
        <v>57</v>
      </c>
      <c r="C309">
        <v>1222</v>
      </c>
      <c r="D309" s="1">
        <v>7.5</v>
      </c>
      <c r="E309" s="1">
        <v>109.1</v>
      </c>
      <c r="F309" t="s">
        <v>57</v>
      </c>
    </row>
    <row r="310" spans="1:6" x14ac:dyDescent="0.3">
      <c r="A310">
        <v>41</v>
      </c>
      <c r="B310" t="s">
        <v>57</v>
      </c>
      <c r="C310">
        <v>1241</v>
      </c>
      <c r="D310" s="1">
        <v>5.3</v>
      </c>
      <c r="E310" s="1">
        <v>109.1</v>
      </c>
      <c r="F310" t="s">
        <v>57</v>
      </c>
    </row>
    <row r="311" spans="1:6" x14ac:dyDescent="0.3">
      <c r="A311">
        <v>41</v>
      </c>
      <c r="B311" t="s">
        <v>57</v>
      </c>
      <c r="C311">
        <v>1365</v>
      </c>
      <c r="D311" s="1">
        <v>5.3</v>
      </c>
      <c r="E311" s="1">
        <v>109.1</v>
      </c>
      <c r="F311" t="s">
        <v>57</v>
      </c>
    </row>
    <row r="312" spans="1:6" x14ac:dyDescent="0.3">
      <c r="A312">
        <v>42</v>
      </c>
      <c r="B312" t="s">
        <v>58</v>
      </c>
      <c r="C312">
        <v>630</v>
      </c>
      <c r="D312" s="1">
        <v>7.4</v>
      </c>
      <c r="E312" s="1">
        <v>76.2</v>
      </c>
      <c r="F312" t="s">
        <v>58</v>
      </c>
    </row>
    <row r="313" spans="1:6" x14ac:dyDescent="0.3">
      <c r="A313">
        <v>42</v>
      </c>
      <c r="B313" t="s">
        <v>58</v>
      </c>
      <c r="C313">
        <v>740</v>
      </c>
      <c r="D313" s="1">
        <v>4.9000000000000004</v>
      </c>
      <c r="E313" s="1">
        <v>76.2</v>
      </c>
      <c r="F313" t="s">
        <v>58</v>
      </c>
    </row>
    <row r="314" spans="1:6" x14ac:dyDescent="0.3">
      <c r="A314">
        <v>42</v>
      </c>
      <c r="B314" t="s">
        <v>58</v>
      </c>
      <c r="C314">
        <v>801</v>
      </c>
      <c r="D314" s="1">
        <v>8.1999999999999993</v>
      </c>
      <c r="E314" s="1">
        <v>76.2</v>
      </c>
      <c r="F314" t="s">
        <v>58</v>
      </c>
    </row>
    <row r="315" spans="1:6" x14ac:dyDescent="0.3">
      <c r="A315">
        <v>42</v>
      </c>
      <c r="B315" t="s">
        <v>58</v>
      </c>
      <c r="C315">
        <v>976</v>
      </c>
      <c r="D315" s="1">
        <v>25.5</v>
      </c>
      <c r="E315" s="1">
        <v>76.2</v>
      </c>
      <c r="F315" t="s">
        <v>58</v>
      </c>
    </row>
    <row r="316" spans="1:6" x14ac:dyDescent="0.3">
      <c r="A316">
        <v>42</v>
      </c>
      <c r="B316" t="s">
        <v>58</v>
      </c>
      <c r="C316">
        <v>1055</v>
      </c>
      <c r="D316" s="1">
        <v>12.8</v>
      </c>
      <c r="E316" s="1">
        <v>76.2</v>
      </c>
      <c r="F316" t="s">
        <v>58</v>
      </c>
    </row>
    <row r="317" spans="1:6" x14ac:dyDescent="0.3">
      <c r="A317">
        <v>42</v>
      </c>
      <c r="B317" t="s">
        <v>58</v>
      </c>
      <c r="C317">
        <v>1104</v>
      </c>
      <c r="D317" s="1">
        <v>9.9</v>
      </c>
      <c r="E317" s="1">
        <v>76.2</v>
      </c>
      <c r="F317" t="s">
        <v>58</v>
      </c>
    </row>
    <row r="318" spans="1:6" x14ac:dyDescent="0.3">
      <c r="A318">
        <v>42</v>
      </c>
      <c r="B318" t="s">
        <v>58</v>
      </c>
      <c r="C318">
        <v>1146</v>
      </c>
      <c r="D318" s="1">
        <v>7.5</v>
      </c>
      <c r="E318" s="1">
        <v>76.2</v>
      </c>
      <c r="F318" t="s">
        <v>58</v>
      </c>
    </row>
    <row r="319" spans="1:6" x14ac:dyDescent="0.3">
      <c r="A319">
        <v>43</v>
      </c>
      <c r="B319" t="s">
        <v>59</v>
      </c>
      <c r="C319">
        <v>637</v>
      </c>
      <c r="D319" s="1">
        <v>7.6</v>
      </c>
      <c r="E319" s="1">
        <v>138.80000000000001</v>
      </c>
      <c r="F319" t="s">
        <v>59</v>
      </c>
    </row>
    <row r="320" spans="1:6" x14ac:dyDescent="0.3">
      <c r="A320">
        <v>43</v>
      </c>
      <c r="B320" t="s">
        <v>59</v>
      </c>
      <c r="C320">
        <v>742</v>
      </c>
      <c r="D320" s="1">
        <v>5.0999999999999996</v>
      </c>
      <c r="E320" s="1">
        <v>138.80000000000001</v>
      </c>
      <c r="F320" t="s">
        <v>59</v>
      </c>
    </row>
    <row r="321" spans="1:6" x14ac:dyDescent="0.3">
      <c r="A321">
        <v>43</v>
      </c>
      <c r="B321" t="s">
        <v>59</v>
      </c>
      <c r="C321">
        <v>806</v>
      </c>
      <c r="D321" s="1">
        <v>29.4</v>
      </c>
      <c r="E321" s="1">
        <v>138.80000000000001</v>
      </c>
      <c r="F321" t="s">
        <v>59</v>
      </c>
    </row>
    <row r="322" spans="1:6" x14ac:dyDescent="0.3">
      <c r="A322">
        <v>43</v>
      </c>
      <c r="B322" t="s">
        <v>59</v>
      </c>
      <c r="C322">
        <v>833</v>
      </c>
      <c r="D322" s="1">
        <v>5.3</v>
      </c>
      <c r="E322" s="1">
        <v>138.80000000000001</v>
      </c>
      <c r="F322" t="s">
        <v>59</v>
      </c>
    </row>
    <row r="323" spans="1:6" x14ac:dyDescent="0.3">
      <c r="A323">
        <v>43</v>
      </c>
      <c r="B323" t="s">
        <v>59</v>
      </c>
      <c r="C323">
        <v>852</v>
      </c>
      <c r="D323" s="1">
        <v>32.799999999999997</v>
      </c>
      <c r="E323" s="1">
        <v>138.80000000000001</v>
      </c>
      <c r="F323" t="s">
        <v>59</v>
      </c>
    </row>
    <row r="324" spans="1:6" x14ac:dyDescent="0.3">
      <c r="A324">
        <v>43</v>
      </c>
      <c r="B324" t="s">
        <v>59</v>
      </c>
      <c r="C324">
        <v>981</v>
      </c>
      <c r="D324" s="1">
        <v>15.2</v>
      </c>
      <c r="E324" s="1">
        <v>138.80000000000001</v>
      </c>
      <c r="F324" t="s">
        <v>59</v>
      </c>
    </row>
    <row r="325" spans="1:6" x14ac:dyDescent="0.3">
      <c r="A325">
        <v>43</v>
      </c>
      <c r="B325" t="s">
        <v>59</v>
      </c>
      <c r="C325">
        <v>1057</v>
      </c>
      <c r="D325" s="1">
        <v>21.7</v>
      </c>
      <c r="E325" s="1">
        <v>138.80000000000001</v>
      </c>
      <c r="F325" t="s">
        <v>59</v>
      </c>
    </row>
    <row r="326" spans="1:6" x14ac:dyDescent="0.3">
      <c r="A326">
        <v>43</v>
      </c>
      <c r="B326" t="s">
        <v>59</v>
      </c>
      <c r="C326">
        <v>1109</v>
      </c>
      <c r="D326" s="1">
        <v>5.3</v>
      </c>
      <c r="E326" s="1">
        <v>138.80000000000001</v>
      </c>
      <c r="F326" t="s">
        <v>59</v>
      </c>
    </row>
    <row r="327" spans="1:6" x14ac:dyDescent="0.3">
      <c r="A327">
        <v>43</v>
      </c>
      <c r="B327" t="s">
        <v>59</v>
      </c>
      <c r="C327">
        <v>1266</v>
      </c>
      <c r="D327" s="1">
        <v>9.6</v>
      </c>
      <c r="E327" s="1">
        <v>138.80000000000001</v>
      </c>
      <c r="F327" t="s">
        <v>59</v>
      </c>
    </row>
    <row r="328" spans="1:6" x14ac:dyDescent="0.3">
      <c r="A328">
        <v>43</v>
      </c>
      <c r="B328" t="s">
        <v>59</v>
      </c>
      <c r="C328">
        <v>1284</v>
      </c>
      <c r="D328" s="1">
        <v>6.8</v>
      </c>
      <c r="E328" s="1">
        <v>138.80000000000001</v>
      </c>
      <c r="F328" t="s">
        <v>59</v>
      </c>
    </row>
    <row r="329" spans="1:6" x14ac:dyDescent="0.3">
      <c r="A329">
        <v>44</v>
      </c>
      <c r="B329" t="s">
        <v>60</v>
      </c>
      <c r="C329">
        <v>631</v>
      </c>
      <c r="D329" s="1">
        <v>7.6</v>
      </c>
      <c r="E329" s="1">
        <v>87.5</v>
      </c>
      <c r="F329" t="s">
        <v>60</v>
      </c>
    </row>
    <row r="330" spans="1:6" x14ac:dyDescent="0.3">
      <c r="A330">
        <v>44</v>
      </c>
      <c r="B330" t="s">
        <v>60</v>
      </c>
      <c r="C330">
        <v>744</v>
      </c>
      <c r="D330" s="1">
        <v>5.2</v>
      </c>
      <c r="E330" s="1">
        <v>87.5</v>
      </c>
      <c r="F330" t="s">
        <v>60</v>
      </c>
    </row>
    <row r="331" spans="1:6" x14ac:dyDescent="0.3">
      <c r="A331">
        <v>44</v>
      </c>
      <c r="B331" t="s">
        <v>60</v>
      </c>
      <c r="C331">
        <v>784</v>
      </c>
      <c r="D331" s="1">
        <v>7.5</v>
      </c>
      <c r="E331" s="1">
        <v>87.5</v>
      </c>
      <c r="F331" t="s">
        <v>60</v>
      </c>
    </row>
    <row r="332" spans="1:6" x14ac:dyDescent="0.3">
      <c r="A332">
        <v>44</v>
      </c>
      <c r="B332" t="s">
        <v>60</v>
      </c>
      <c r="C332">
        <v>977</v>
      </c>
      <c r="D332" s="1">
        <v>25.4</v>
      </c>
      <c r="E332" s="1">
        <v>87.5</v>
      </c>
      <c r="F332" t="s">
        <v>60</v>
      </c>
    </row>
    <row r="333" spans="1:6" x14ac:dyDescent="0.3">
      <c r="A333">
        <v>44</v>
      </c>
      <c r="B333" t="s">
        <v>60</v>
      </c>
      <c r="C333">
        <v>1059</v>
      </c>
      <c r="D333" s="1">
        <v>16.3</v>
      </c>
      <c r="E333" s="1">
        <v>87.5</v>
      </c>
      <c r="F333" t="s">
        <v>60</v>
      </c>
    </row>
    <row r="334" spans="1:6" x14ac:dyDescent="0.3">
      <c r="A334">
        <v>44</v>
      </c>
      <c r="B334" t="s">
        <v>60</v>
      </c>
      <c r="C334">
        <v>1087</v>
      </c>
      <c r="D334" s="1">
        <v>15.4</v>
      </c>
      <c r="E334" s="1">
        <v>87.5</v>
      </c>
      <c r="F334" t="s">
        <v>60</v>
      </c>
    </row>
    <row r="335" spans="1:6" x14ac:dyDescent="0.3">
      <c r="A335">
        <v>44</v>
      </c>
      <c r="B335" t="s">
        <v>60</v>
      </c>
      <c r="C335">
        <v>1280</v>
      </c>
      <c r="D335" s="1">
        <v>4.8</v>
      </c>
      <c r="E335" s="1">
        <v>87.5</v>
      </c>
      <c r="F335" t="s">
        <v>60</v>
      </c>
    </row>
    <row r="336" spans="1:6" x14ac:dyDescent="0.3">
      <c r="A336">
        <v>44</v>
      </c>
      <c r="B336" t="s">
        <v>60</v>
      </c>
      <c r="C336">
        <v>1413</v>
      </c>
      <c r="D336" s="1">
        <v>5.3</v>
      </c>
      <c r="E336" s="1">
        <v>87.5</v>
      </c>
      <c r="F336" t="s">
        <v>60</v>
      </c>
    </row>
    <row r="337" spans="1:6" x14ac:dyDescent="0.3">
      <c r="A337">
        <v>45</v>
      </c>
      <c r="B337" t="s">
        <v>61</v>
      </c>
      <c r="C337">
        <v>632</v>
      </c>
      <c r="D337" s="1">
        <v>14.8</v>
      </c>
      <c r="E337" s="1">
        <v>45.7</v>
      </c>
      <c r="F337" t="s">
        <v>61</v>
      </c>
    </row>
    <row r="338" spans="1:6" x14ac:dyDescent="0.3">
      <c r="A338">
        <v>45</v>
      </c>
      <c r="B338" t="s">
        <v>61</v>
      </c>
      <c r="C338">
        <v>746</v>
      </c>
      <c r="D338" s="1">
        <v>9.6</v>
      </c>
      <c r="E338" s="1">
        <v>45.7</v>
      </c>
      <c r="F338" t="s">
        <v>61</v>
      </c>
    </row>
    <row r="339" spans="1:6" x14ac:dyDescent="0.3">
      <c r="A339">
        <v>45</v>
      </c>
      <c r="B339" t="s">
        <v>61</v>
      </c>
      <c r="C339">
        <v>1061</v>
      </c>
      <c r="D339" s="1">
        <v>17.3</v>
      </c>
      <c r="E339" s="1">
        <v>45.7</v>
      </c>
      <c r="F339" t="s">
        <v>61</v>
      </c>
    </row>
    <row r="340" spans="1:6" x14ac:dyDescent="0.3">
      <c r="A340">
        <v>45</v>
      </c>
      <c r="B340" t="s">
        <v>61</v>
      </c>
      <c r="C340">
        <v>1408</v>
      </c>
      <c r="D340" s="1">
        <v>4</v>
      </c>
      <c r="E340" s="1">
        <v>45.7</v>
      </c>
      <c r="F340" t="s">
        <v>61</v>
      </c>
    </row>
    <row r="341" spans="1:6" x14ac:dyDescent="0.3">
      <c r="A341">
        <v>46</v>
      </c>
      <c r="B341" t="s">
        <v>62</v>
      </c>
      <c r="C341">
        <v>633</v>
      </c>
      <c r="D341" s="1">
        <v>13.9</v>
      </c>
      <c r="E341" s="1">
        <v>45.8</v>
      </c>
      <c r="F341" t="s">
        <v>62</v>
      </c>
    </row>
    <row r="342" spans="1:6" x14ac:dyDescent="0.3">
      <c r="A342">
        <v>46</v>
      </c>
      <c r="B342" t="s">
        <v>62</v>
      </c>
      <c r="C342">
        <v>681</v>
      </c>
      <c r="D342" s="1">
        <v>14.8</v>
      </c>
      <c r="E342" s="1">
        <v>45.8</v>
      </c>
      <c r="F342" t="s">
        <v>62</v>
      </c>
    </row>
    <row r="343" spans="1:6" x14ac:dyDescent="0.3">
      <c r="A343">
        <v>46</v>
      </c>
      <c r="B343" t="s">
        <v>62</v>
      </c>
      <c r="C343">
        <v>1090</v>
      </c>
      <c r="D343" s="1">
        <v>8.1999999999999993</v>
      </c>
      <c r="E343" s="1">
        <v>45.8</v>
      </c>
      <c r="F343" t="s">
        <v>62</v>
      </c>
    </row>
    <row r="344" spans="1:6" x14ac:dyDescent="0.3">
      <c r="A344">
        <v>46</v>
      </c>
      <c r="B344" t="s">
        <v>62</v>
      </c>
      <c r="C344">
        <v>1132</v>
      </c>
      <c r="D344" s="1">
        <v>8.9</v>
      </c>
      <c r="E344" s="1">
        <v>45.8</v>
      </c>
      <c r="F344" t="s">
        <v>62</v>
      </c>
    </row>
    <row r="345" spans="1:6" x14ac:dyDescent="0.3">
      <c r="A345">
        <v>47</v>
      </c>
      <c r="B345" t="s">
        <v>63</v>
      </c>
      <c r="C345">
        <v>604</v>
      </c>
      <c r="D345" s="1">
        <v>7.6</v>
      </c>
      <c r="E345" s="1">
        <v>203</v>
      </c>
      <c r="F345" t="s">
        <v>63</v>
      </c>
    </row>
    <row r="346" spans="1:6" x14ac:dyDescent="0.3">
      <c r="A346">
        <v>47</v>
      </c>
      <c r="B346" t="s">
        <v>63</v>
      </c>
      <c r="C346">
        <v>634</v>
      </c>
      <c r="D346" s="1">
        <v>9.9</v>
      </c>
      <c r="E346" s="1">
        <v>203</v>
      </c>
      <c r="F346" t="s">
        <v>63</v>
      </c>
    </row>
    <row r="347" spans="1:6" x14ac:dyDescent="0.3">
      <c r="A347">
        <v>47</v>
      </c>
      <c r="B347" t="s">
        <v>63</v>
      </c>
      <c r="C347">
        <v>683</v>
      </c>
      <c r="D347" s="1">
        <v>9.8000000000000007</v>
      </c>
      <c r="E347" s="1">
        <v>203</v>
      </c>
      <c r="F347" t="s">
        <v>63</v>
      </c>
    </row>
    <row r="348" spans="1:6" x14ac:dyDescent="0.3">
      <c r="A348">
        <v>47</v>
      </c>
      <c r="B348" t="s">
        <v>63</v>
      </c>
      <c r="C348">
        <v>732</v>
      </c>
      <c r="D348" s="1">
        <v>8</v>
      </c>
      <c r="E348" s="1">
        <v>203</v>
      </c>
      <c r="F348" t="s">
        <v>63</v>
      </c>
    </row>
    <row r="349" spans="1:6" x14ac:dyDescent="0.3">
      <c r="A349">
        <v>47</v>
      </c>
      <c r="B349" t="s">
        <v>63</v>
      </c>
      <c r="C349">
        <v>789</v>
      </c>
      <c r="D349" s="1">
        <v>10.199999999999999</v>
      </c>
      <c r="E349" s="1">
        <v>203</v>
      </c>
      <c r="F349" t="s">
        <v>63</v>
      </c>
    </row>
    <row r="350" spans="1:6" x14ac:dyDescent="0.3">
      <c r="A350">
        <v>47</v>
      </c>
      <c r="B350" t="s">
        <v>63</v>
      </c>
      <c r="C350">
        <v>798</v>
      </c>
      <c r="D350" s="1">
        <v>7.5</v>
      </c>
      <c r="E350" s="1">
        <v>203</v>
      </c>
      <c r="F350" t="s">
        <v>63</v>
      </c>
    </row>
    <row r="351" spans="1:6" x14ac:dyDescent="0.3">
      <c r="A351">
        <v>47</v>
      </c>
      <c r="B351" t="s">
        <v>63</v>
      </c>
      <c r="C351">
        <v>856</v>
      </c>
      <c r="D351" s="1">
        <v>15.5</v>
      </c>
      <c r="E351" s="1">
        <v>203</v>
      </c>
      <c r="F351" t="s">
        <v>63</v>
      </c>
    </row>
    <row r="352" spans="1:6" x14ac:dyDescent="0.3">
      <c r="A352">
        <v>47</v>
      </c>
      <c r="B352" t="s">
        <v>63</v>
      </c>
      <c r="C352">
        <v>954</v>
      </c>
      <c r="D352" s="1">
        <v>23.1</v>
      </c>
      <c r="E352" s="1">
        <v>203</v>
      </c>
      <c r="F352" t="s">
        <v>63</v>
      </c>
    </row>
    <row r="353" spans="1:6" x14ac:dyDescent="0.3">
      <c r="A353">
        <v>47</v>
      </c>
      <c r="B353" t="s">
        <v>63</v>
      </c>
      <c r="C353">
        <v>978</v>
      </c>
      <c r="D353" s="1">
        <v>5.3</v>
      </c>
      <c r="E353" s="1">
        <v>203</v>
      </c>
      <c r="F353" t="s">
        <v>63</v>
      </c>
    </row>
    <row r="354" spans="1:6" x14ac:dyDescent="0.3">
      <c r="A354">
        <v>47</v>
      </c>
      <c r="B354" t="s">
        <v>63</v>
      </c>
      <c r="C354">
        <v>1012</v>
      </c>
      <c r="D354" s="1">
        <v>23.6</v>
      </c>
      <c r="E354" s="1">
        <v>203</v>
      </c>
      <c r="F354" t="s">
        <v>63</v>
      </c>
    </row>
    <row r="355" spans="1:6" x14ac:dyDescent="0.3">
      <c r="A355">
        <v>47</v>
      </c>
      <c r="B355" t="s">
        <v>63</v>
      </c>
      <c r="C355">
        <v>1092</v>
      </c>
      <c r="D355" s="1">
        <v>6.8</v>
      </c>
      <c r="E355" s="1">
        <v>203</v>
      </c>
      <c r="F355" t="s">
        <v>63</v>
      </c>
    </row>
    <row r="356" spans="1:6" x14ac:dyDescent="0.3">
      <c r="A356">
        <v>47</v>
      </c>
      <c r="B356" t="s">
        <v>63</v>
      </c>
      <c r="C356">
        <v>1101</v>
      </c>
      <c r="D356" s="1">
        <v>12.8</v>
      </c>
      <c r="E356" s="1">
        <v>203</v>
      </c>
      <c r="F356" t="s">
        <v>63</v>
      </c>
    </row>
    <row r="357" spans="1:6" x14ac:dyDescent="0.3">
      <c r="A357">
        <v>47</v>
      </c>
      <c r="B357" t="s">
        <v>63</v>
      </c>
      <c r="C357">
        <v>1112</v>
      </c>
      <c r="D357" s="1">
        <v>10.4</v>
      </c>
      <c r="E357" s="1">
        <v>203</v>
      </c>
      <c r="F357" t="s">
        <v>63</v>
      </c>
    </row>
    <row r="358" spans="1:6" x14ac:dyDescent="0.3">
      <c r="A358">
        <v>47</v>
      </c>
      <c r="B358" t="s">
        <v>63</v>
      </c>
      <c r="C358">
        <v>1134</v>
      </c>
      <c r="D358" s="1">
        <v>7.7</v>
      </c>
      <c r="E358" s="1">
        <v>203</v>
      </c>
      <c r="F358" t="s">
        <v>63</v>
      </c>
    </row>
    <row r="359" spans="1:6" x14ac:dyDescent="0.3">
      <c r="A359">
        <v>47</v>
      </c>
      <c r="B359" t="s">
        <v>63</v>
      </c>
      <c r="C359">
        <v>1177</v>
      </c>
      <c r="D359" s="1">
        <v>7.6</v>
      </c>
      <c r="E359" s="1">
        <v>203</v>
      </c>
      <c r="F359" t="s">
        <v>63</v>
      </c>
    </row>
    <row r="360" spans="1:6" x14ac:dyDescent="0.3">
      <c r="A360">
        <v>47</v>
      </c>
      <c r="B360" t="s">
        <v>63</v>
      </c>
      <c r="C360">
        <v>1281</v>
      </c>
      <c r="D360" s="1">
        <v>9.4</v>
      </c>
      <c r="E360" s="1">
        <v>203</v>
      </c>
      <c r="F360" t="s">
        <v>63</v>
      </c>
    </row>
    <row r="361" spans="1:6" x14ac:dyDescent="0.3">
      <c r="A361">
        <v>47</v>
      </c>
      <c r="B361" t="s">
        <v>63</v>
      </c>
      <c r="C361">
        <v>1315</v>
      </c>
      <c r="D361" s="1">
        <v>5.3</v>
      </c>
      <c r="E361" s="1">
        <v>203</v>
      </c>
      <c r="F361" t="s">
        <v>63</v>
      </c>
    </row>
    <row r="362" spans="1:6" x14ac:dyDescent="0.3">
      <c r="A362">
        <v>47</v>
      </c>
      <c r="B362" t="s">
        <v>63</v>
      </c>
      <c r="C362">
        <v>1337</v>
      </c>
      <c r="D362" s="1">
        <v>22.5</v>
      </c>
      <c r="E362" s="1">
        <v>203</v>
      </c>
      <c r="F362" t="s">
        <v>63</v>
      </c>
    </row>
    <row r="363" spans="1:6" x14ac:dyDescent="0.3">
      <c r="A363">
        <v>48</v>
      </c>
      <c r="B363" t="s">
        <v>64</v>
      </c>
      <c r="C363">
        <v>635</v>
      </c>
      <c r="D363" s="1">
        <v>10.1</v>
      </c>
      <c r="E363" s="1">
        <v>139.69999999999999</v>
      </c>
      <c r="F363" t="s">
        <v>64</v>
      </c>
    </row>
    <row r="364" spans="1:6" x14ac:dyDescent="0.3">
      <c r="A364">
        <v>48</v>
      </c>
      <c r="B364" t="s">
        <v>64</v>
      </c>
      <c r="C364">
        <v>685</v>
      </c>
      <c r="D364" s="1">
        <v>4.9000000000000004</v>
      </c>
      <c r="E364" s="1">
        <v>139.69999999999999</v>
      </c>
      <c r="F364" t="s">
        <v>64</v>
      </c>
    </row>
    <row r="365" spans="1:6" x14ac:dyDescent="0.3">
      <c r="A365">
        <v>48</v>
      </c>
      <c r="B365" t="s">
        <v>64</v>
      </c>
      <c r="C365">
        <v>791</v>
      </c>
      <c r="D365" s="1">
        <v>12.3</v>
      </c>
      <c r="E365" s="1">
        <v>139.69999999999999</v>
      </c>
      <c r="F365" t="s">
        <v>64</v>
      </c>
    </row>
    <row r="366" spans="1:6" x14ac:dyDescent="0.3">
      <c r="A366">
        <v>48</v>
      </c>
      <c r="B366" t="s">
        <v>64</v>
      </c>
      <c r="C366">
        <v>824</v>
      </c>
      <c r="D366" s="1">
        <v>5.3</v>
      </c>
      <c r="E366" s="1">
        <v>139.69999999999999</v>
      </c>
      <c r="F366" t="s">
        <v>64</v>
      </c>
    </row>
    <row r="367" spans="1:6" x14ac:dyDescent="0.3">
      <c r="A367">
        <v>48</v>
      </c>
      <c r="B367" t="s">
        <v>64</v>
      </c>
      <c r="C367">
        <v>848</v>
      </c>
      <c r="D367" s="1">
        <v>18.7</v>
      </c>
      <c r="E367" s="1">
        <v>139.69999999999999</v>
      </c>
      <c r="F367" t="s">
        <v>64</v>
      </c>
    </row>
    <row r="368" spans="1:6" x14ac:dyDescent="0.3">
      <c r="A368">
        <v>48</v>
      </c>
      <c r="B368" t="s">
        <v>64</v>
      </c>
      <c r="C368">
        <v>1014</v>
      </c>
      <c r="D368" s="1">
        <v>5.3</v>
      </c>
      <c r="E368" s="1">
        <v>139.69999999999999</v>
      </c>
      <c r="F368" t="s">
        <v>64</v>
      </c>
    </row>
    <row r="369" spans="1:6" x14ac:dyDescent="0.3">
      <c r="A369">
        <v>48</v>
      </c>
      <c r="B369" t="s">
        <v>64</v>
      </c>
      <c r="C369">
        <v>1094</v>
      </c>
      <c r="D369" s="1">
        <v>26.5</v>
      </c>
      <c r="E369" s="1">
        <v>139.69999999999999</v>
      </c>
      <c r="F369" t="s">
        <v>64</v>
      </c>
    </row>
    <row r="370" spans="1:6" x14ac:dyDescent="0.3">
      <c r="A370">
        <v>48</v>
      </c>
      <c r="B370" t="s">
        <v>64</v>
      </c>
      <c r="C370">
        <v>1136</v>
      </c>
      <c r="D370" s="1">
        <v>10.4</v>
      </c>
      <c r="E370" s="1">
        <v>139.69999999999999</v>
      </c>
      <c r="F370" t="s">
        <v>64</v>
      </c>
    </row>
    <row r="371" spans="1:6" x14ac:dyDescent="0.3">
      <c r="A371">
        <v>48</v>
      </c>
      <c r="B371" t="s">
        <v>64</v>
      </c>
      <c r="C371">
        <v>1143</v>
      </c>
      <c r="D371" s="1">
        <v>20.399999999999999</v>
      </c>
      <c r="E371" s="1">
        <v>139.69999999999999</v>
      </c>
      <c r="F371" t="s">
        <v>64</v>
      </c>
    </row>
    <row r="372" spans="1:6" x14ac:dyDescent="0.3">
      <c r="A372">
        <v>48</v>
      </c>
      <c r="B372" t="s">
        <v>64</v>
      </c>
      <c r="C372">
        <v>1264</v>
      </c>
      <c r="D372" s="1">
        <v>5.3</v>
      </c>
      <c r="E372" s="1">
        <v>139.69999999999999</v>
      </c>
      <c r="F372" t="s">
        <v>64</v>
      </c>
    </row>
    <row r="373" spans="1:6" x14ac:dyDescent="0.3">
      <c r="A373">
        <v>48</v>
      </c>
      <c r="B373" t="s">
        <v>64</v>
      </c>
      <c r="C373">
        <v>1282</v>
      </c>
      <c r="D373" s="1">
        <v>5.3</v>
      </c>
      <c r="E373" s="1">
        <v>139.69999999999999</v>
      </c>
      <c r="F373" t="s">
        <v>64</v>
      </c>
    </row>
    <row r="374" spans="1:6" x14ac:dyDescent="0.3">
      <c r="A374">
        <v>48</v>
      </c>
      <c r="B374" t="s">
        <v>64</v>
      </c>
      <c r="C374">
        <v>1317</v>
      </c>
      <c r="D374" s="1">
        <v>7.7</v>
      </c>
      <c r="E374" s="1">
        <v>139.69999999999999</v>
      </c>
      <c r="F374" t="s">
        <v>64</v>
      </c>
    </row>
    <row r="375" spans="1:6" x14ac:dyDescent="0.3">
      <c r="A375">
        <v>48</v>
      </c>
      <c r="B375" t="s">
        <v>64</v>
      </c>
      <c r="C375">
        <v>1339</v>
      </c>
      <c r="D375" s="1">
        <v>7.5</v>
      </c>
      <c r="E375" s="1">
        <v>139.69999999999999</v>
      </c>
      <c r="F375" t="s">
        <v>64</v>
      </c>
    </row>
    <row r="376" spans="1:6" x14ac:dyDescent="0.3">
      <c r="A376">
        <v>49</v>
      </c>
      <c r="B376" t="s">
        <v>65</v>
      </c>
      <c r="C376">
        <v>638</v>
      </c>
      <c r="D376" s="1">
        <v>15</v>
      </c>
      <c r="E376" s="1">
        <v>135.6</v>
      </c>
      <c r="F376" t="s">
        <v>65</v>
      </c>
    </row>
    <row r="377" spans="1:6" x14ac:dyDescent="0.3">
      <c r="A377">
        <v>49</v>
      </c>
      <c r="B377" t="s">
        <v>65</v>
      </c>
      <c r="C377">
        <v>687</v>
      </c>
      <c r="D377" s="1">
        <v>29.6</v>
      </c>
      <c r="E377" s="1">
        <v>135.6</v>
      </c>
      <c r="F377" t="s">
        <v>65</v>
      </c>
    </row>
    <row r="378" spans="1:6" x14ac:dyDescent="0.3">
      <c r="A378">
        <v>49</v>
      </c>
      <c r="B378" t="s">
        <v>65</v>
      </c>
      <c r="C378">
        <v>793</v>
      </c>
      <c r="D378" s="1">
        <v>5.0999999999999996</v>
      </c>
      <c r="E378" s="1">
        <v>135.6</v>
      </c>
      <c r="F378" t="s">
        <v>65</v>
      </c>
    </row>
    <row r="379" spans="1:6" x14ac:dyDescent="0.3">
      <c r="A379">
        <v>49</v>
      </c>
      <c r="B379" t="s">
        <v>65</v>
      </c>
      <c r="C379">
        <v>851</v>
      </c>
      <c r="D379" s="1">
        <v>7.7</v>
      </c>
      <c r="E379" s="1">
        <v>135.6</v>
      </c>
      <c r="F379" t="s">
        <v>65</v>
      </c>
    </row>
    <row r="380" spans="1:6" x14ac:dyDescent="0.3">
      <c r="A380">
        <v>49</v>
      </c>
      <c r="B380" t="s">
        <v>65</v>
      </c>
      <c r="C380">
        <v>982</v>
      </c>
      <c r="D380" s="1">
        <v>15.6</v>
      </c>
      <c r="E380" s="1">
        <v>135.6</v>
      </c>
      <c r="F380" t="s">
        <v>65</v>
      </c>
    </row>
    <row r="381" spans="1:6" x14ac:dyDescent="0.3">
      <c r="A381">
        <v>49</v>
      </c>
      <c r="B381" t="s">
        <v>65</v>
      </c>
      <c r="C381">
        <v>1016</v>
      </c>
      <c r="D381" s="1">
        <v>5.3</v>
      </c>
      <c r="E381" s="1">
        <v>135.6</v>
      </c>
      <c r="F381" t="s">
        <v>65</v>
      </c>
    </row>
    <row r="382" spans="1:6" x14ac:dyDescent="0.3">
      <c r="A382">
        <v>49</v>
      </c>
      <c r="B382" t="s">
        <v>65</v>
      </c>
      <c r="C382">
        <v>1096</v>
      </c>
      <c r="D382" s="1">
        <v>6.8</v>
      </c>
      <c r="E382" s="1">
        <v>135.6</v>
      </c>
      <c r="F382" t="s">
        <v>65</v>
      </c>
    </row>
    <row r="383" spans="1:6" x14ac:dyDescent="0.3">
      <c r="A383">
        <v>49</v>
      </c>
      <c r="B383" t="s">
        <v>65</v>
      </c>
      <c r="C383">
        <v>1138</v>
      </c>
      <c r="D383" s="1">
        <v>6.8</v>
      </c>
      <c r="E383" s="1">
        <v>135.6</v>
      </c>
      <c r="F383" t="s">
        <v>65</v>
      </c>
    </row>
    <row r="384" spans="1:6" x14ac:dyDescent="0.3">
      <c r="A384">
        <v>49</v>
      </c>
      <c r="B384" t="s">
        <v>65</v>
      </c>
      <c r="C384">
        <v>1267</v>
      </c>
      <c r="D384" s="1">
        <v>15.6</v>
      </c>
      <c r="E384" s="1">
        <v>135.6</v>
      </c>
      <c r="F384" t="s">
        <v>65</v>
      </c>
    </row>
    <row r="385" spans="1:6" x14ac:dyDescent="0.3">
      <c r="A385">
        <v>49</v>
      </c>
      <c r="B385" t="s">
        <v>65</v>
      </c>
      <c r="C385">
        <v>1285</v>
      </c>
      <c r="D385" s="1">
        <v>4.0999999999999996</v>
      </c>
      <c r="E385" s="1">
        <v>135.6</v>
      </c>
      <c r="F385" t="s">
        <v>65</v>
      </c>
    </row>
    <row r="386" spans="1:6" x14ac:dyDescent="0.3">
      <c r="A386">
        <v>49</v>
      </c>
      <c r="B386" t="s">
        <v>65</v>
      </c>
      <c r="C386">
        <v>1319</v>
      </c>
      <c r="D386" s="1">
        <v>4.8</v>
      </c>
      <c r="E386" s="1">
        <v>135.6</v>
      </c>
      <c r="F386" t="s">
        <v>65</v>
      </c>
    </row>
    <row r="387" spans="1:6" x14ac:dyDescent="0.3">
      <c r="A387">
        <v>49</v>
      </c>
      <c r="B387" t="s">
        <v>65</v>
      </c>
      <c r="C387">
        <v>1341</v>
      </c>
      <c r="D387" s="1">
        <v>19.2</v>
      </c>
      <c r="E387" s="1">
        <v>135.6</v>
      </c>
      <c r="F387" t="s">
        <v>65</v>
      </c>
    </row>
    <row r="388" spans="1:6" x14ac:dyDescent="0.3">
      <c r="A388">
        <v>50</v>
      </c>
      <c r="B388" t="s">
        <v>66</v>
      </c>
      <c r="C388">
        <v>642</v>
      </c>
      <c r="D388" s="1">
        <v>15</v>
      </c>
      <c r="E388" s="1">
        <v>110.1</v>
      </c>
      <c r="F388" t="s">
        <v>66</v>
      </c>
    </row>
    <row r="389" spans="1:6" x14ac:dyDescent="0.3">
      <c r="A389">
        <v>50</v>
      </c>
      <c r="B389" t="s">
        <v>66</v>
      </c>
      <c r="C389">
        <v>689</v>
      </c>
      <c r="D389" s="1">
        <v>7.4</v>
      </c>
      <c r="E389" s="1">
        <v>110.1</v>
      </c>
      <c r="F389" t="s">
        <v>66</v>
      </c>
    </row>
    <row r="390" spans="1:6" x14ac:dyDescent="0.3">
      <c r="A390">
        <v>50</v>
      </c>
      <c r="B390" t="s">
        <v>66</v>
      </c>
      <c r="C390">
        <v>828</v>
      </c>
      <c r="D390" s="1">
        <v>15.9</v>
      </c>
      <c r="E390" s="1">
        <v>110.1</v>
      </c>
      <c r="F390" t="s">
        <v>66</v>
      </c>
    </row>
    <row r="391" spans="1:6" x14ac:dyDescent="0.3">
      <c r="A391">
        <v>50</v>
      </c>
      <c r="B391" t="s">
        <v>66</v>
      </c>
      <c r="C391">
        <v>986</v>
      </c>
      <c r="D391" s="1">
        <v>7.5</v>
      </c>
      <c r="E391" s="1">
        <v>110.1</v>
      </c>
      <c r="F391" t="s">
        <v>66</v>
      </c>
    </row>
    <row r="392" spans="1:6" x14ac:dyDescent="0.3">
      <c r="A392">
        <v>50</v>
      </c>
      <c r="B392" t="s">
        <v>66</v>
      </c>
      <c r="C392">
        <v>1018</v>
      </c>
      <c r="D392" s="1">
        <v>5.3</v>
      </c>
      <c r="E392" s="1">
        <v>110.1</v>
      </c>
      <c r="F392" t="s">
        <v>66</v>
      </c>
    </row>
    <row r="393" spans="1:6" x14ac:dyDescent="0.3">
      <c r="A393">
        <v>50</v>
      </c>
      <c r="B393" t="s">
        <v>66</v>
      </c>
      <c r="C393">
        <v>1098</v>
      </c>
      <c r="D393" s="1">
        <v>4.2</v>
      </c>
      <c r="E393" s="1">
        <v>110.1</v>
      </c>
      <c r="F393" t="s">
        <v>66</v>
      </c>
    </row>
    <row r="394" spans="1:6" x14ac:dyDescent="0.3">
      <c r="A394">
        <v>50</v>
      </c>
      <c r="B394" t="s">
        <v>66</v>
      </c>
      <c r="C394">
        <v>1140</v>
      </c>
      <c r="D394" s="1">
        <v>4.0999999999999996</v>
      </c>
      <c r="E394" s="1">
        <v>110.1</v>
      </c>
      <c r="F394" t="s">
        <v>66</v>
      </c>
    </row>
    <row r="395" spans="1:6" x14ac:dyDescent="0.3">
      <c r="A395">
        <v>50</v>
      </c>
      <c r="B395" t="s">
        <v>66</v>
      </c>
      <c r="C395">
        <v>1271</v>
      </c>
      <c r="D395" s="1">
        <v>15.4</v>
      </c>
      <c r="E395" s="1">
        <v>110.1</v>
      </c>
      <c r="F395" t="s">
        <v>66</v>
      </c>
    </row>
    <row r="396" spans="1:6" x14ac:dyDescent="0.3">
      <c r="A396">
        <v>50</v>
      </c>
      <c r="B396" t="s">
        <v>66</v>
      </c>
      <c r="C396">
        <v>1289</v>
      </c>
      <c r="D396" s="1">
        <v>5.2</v>
      </c>
      <c r="E396" s="1">
        <v>110.1</v>
      </c>
      <c r="F396" t="s">
        <v>66</v>
      </c>
    </row>
    <row r="397" spans="1:6" x14ac:dyDescent="0.3">
      <c r="A397">
        <v>50</v>
      </c>
      <c r="B397" t="s">
        <v>66</v>
      </c>
      <c r="C397">
        <v>1321</v>
      </c>
      <c r="D397" s="1">
        <v>8.9</v>
      </c>
      <c r="E397" s="1">
        <v>110.1</v>
      </c>
      <c r="F397" t="s">
        <v>66</v>
      </c>
    </row>
    <row r="398" spans="1:6" x14ac:dyDescent="0.3">
      <c r="A398">
        <v>50</v>
      </c>
      <c r="B398" t="s">
        <v>66</v>
      </c>
      <c r="C398">
        <v>1343</v>
      </c>
      <c r="D398" s="1">
        <v>21.2</v>
      </c>
      <c r="E398" s="1">
        <v>110.1</v>
      </c>
      <c r="F398" t="s">
        <v>66</v>
      </c>
    </row>
    <row r="399" spans="1:6" x14ac:dyDescent="0.3">
      <c r="A399">
        <v>51</v>
      </c>
      <c r="B399" t="s">
        <v>67</v>
      </c>
      <c r="C399">
        <v>646</v>
      </c>
      <c r="D399" s="1">
        <v>9.8000000000000007</v>
      </c>
      <c r="E399" s="1">
        <v>84</v>
      </c>
      <c r="F399" t="s">
        <v>67</v>
      </c>
    </row>
    <row r="400" spans="1:6" x14ac:dyDescent="0.3">
      <c r="A400">
        <v>51</v>
      </c>
      <c r="B400" t="s">
        <v>67</v>
      </c>
      <c r="C400">
        <v>693</v>
      </c>
      <c r="D400" s="1">
        <v>10.199999999999999</v>
      </c>
      <c r="E400" s="1">
        <v>84</v>
      </c>
      <c r="F400" t="s">
        <v>67</v>
      </c>
    </row>
    <row r="401" spans="1:6" x14ac:dyDescent="0.3">
      <c r="A401">
        <v>51</v>
      </c>
      <c r="B401" t="s">
        <v>67</v>
      </c>
      <c r="C401">
        <v>835</v>
      </c>
      <c r="D401" s="1">
        <v>30.2</v>
      </c>
      <c r="E401" s="1">
        <v>84</v>
      </c>
      <c r="F401" t="s">
        <v>67</v>
      </c>
    </row>
    <row r="402" spans="1:6" x14ac:dyDescent="0.3">
      <c r="A402">
        <v>51</v>
      </c>
      <c r="B402" t="s">
        <v>67</v>
      </c>
      <c r="C402">
        <v>1290</v>
      </c>
      <c r="D402" s="1">
        <v>6.8</v>
      </c>
      <c r="E402" s="1">
        <v>84</v>
      </c>
      <c r="F402" t="s">
        <v>67</v>
      </c>
    </row>
    <row r="403" spans="1:6" x14ac:dyDescent="0.3">
      <c r="A403">
        <v>51</v>
      </c>
      <c r="B403" t="s">
        <v>67</v>
      </c>
      <c r="C403">
        <v>1323</v>
      </c>
      <c r="D403" s="1">
        <v>6.8</v>
      </c>
      <c r="E403" s="1">
        <v>84</v>
      </c>
      <c r="F403" t="s">
        <v>67</v>
      </c>
    </row>
    <row r="404" spans="1:6" x14ac:dyDescent="0.3">
      <c r="A404">
        <v>51</v>
      </c>
      <c r="B404" t="s">
        <v>67</v>
      </c>
      <c r="C404">
        <v>1345</v>
      </c>
      <c r="D404" s="1">
        <v>5.2</v>
      </c>
      <c r="E404" s="1">
        <v>84</v>
      </c>
      <c r="F404" t="s">
        <v>67</v>
      </c>
    </row>
    <row r="405" spans="1:6" x14ac:dyDescent="0.3">
      <c r="A405">
        <v>51</v>
      </c>
      <c r="B405" t="s">
        <v>67</v>
      </c>
      <c r="C405">
        <v>1381</v>
      </c>
      <c r="D405" s="1">
        <v>15</v>
      </c>
      <c r="E405" s="1">
        <v>84</v>
      </c>
      <c r="F405" t="s">
        <v>67</v>
      </c>
    </row>
    <row r="406" spans="1:6" x14ac:dyDescent="0.3">
      <c r="A406">
        <v>52</v>
      </c>
      <c r="B406" t="s">
        <v>68</v>
      </c>
      <c r="C406">
        <v>650</v>
      </c>
      <c r="D406" s="1">
        <v>7.4</v>
      </c>
      <c r="E406" s="1">
        <v>119.2</v>
      </c>
      <c r="F406" t="s">
        <v>68</v>
      </c>
    </row>
    <row r="407" spans="1:6" x14ac:dyDescent="0.3">
      <c r="A407">
        <v>52</v>
      </c>
      <c r="B407" t="s">
        <v>68</v>
      </c>
      <c r="C407">
        <v>698</v>
      </c>
      <c r="D407" s="1">
        <v>4.9000000000000004</v>
      </c>
      <c r="E407" s="1">
        <v>119.2</v>
      </c>
      <c r="F407" t="s">
        <v>68</v>
      </c>
    </row>
    <row r="408" spans="1:6" x14ac:dyDescent="0.3">
      <c r="A408">
        <v>52</v>
      </c>
      <c r="B408" t="s">
        <v>68</v>
      </c>
      <c r="C408">
        <v>836</v>
      </c>
      <c r="D408" s="1">
        <v>16.8</v>
      </c>
      <c r="E408" s="1">
        <v>119.2</v>
      </c>
      <c r="F408" t="s">
        <v>68</v>
      </c>
    </row>
    <row r="409" spans="1:6" x14ac:dyDescent="0.3">
      <c r="A409">
        <v>52</v>
      </c>
      <c r="B409" t="s">
        <v>68</v>
      </c>
      <c r="C409">
        <v>989</v>
      </c>
      <c r="D409" s="1">
        <v>21.2</v>
      </c>
      <c r="E409" s="1">
        <v>119.2</v>
      </c>
      <c r="F409" t="s">
        <v>68</v>
      </c>
    </row>
    <row r="410" spans="1:6" x14ac:dyDescent="0.3">
      <c r="A410">
        <v>52</v>
      </c>
      <c r="B410" t="s">
        <v>68</v>
      </c>
      <c r="C410">
        <v>1025</v>
      </c>
      <c r="D410" s="1">
        <v>19.8</v>
      </c>
      <c r="E410" s="1">
        <v>119.2</v>
      </c>
      <c r="F410" t="s">
        <v>68</v>
      </c>
    </row>
    <row r="411" spans="1:6" x14ac:dyDescent="0.3">
      <c r="A411">
        <v>52</v>
      </c>
      <c r="B411" t="s">
        <v>68</v>
      </c>
      <c r="C411">
        <v>1128</v>
      </c>
      <c r="D411" s="1">
        <v>7.9</v>
      </c>
      <c r="E411" s="1">
        <v>119.2</v>
      </c>
      <c r="F411" t="s">
        <v>68</v>
      </c>
    </row>
    <row r="412" spans="1:6" x14ac:dyDescent="0.3">
      <c r="A412">
        <v>52</v>
      </c>
      <c r="B412" t="s">
        <v>68</v>
      </c>
      <c r="C412">
        <v>1274</v>
      </c>
      <c r="D412" s="1">
        <v>10.6</v>
      </c>
      <c r="E412" s="1">
        <v>119.2</v>
      </c>
      <c r="F412" t="s">
        <v>68</v>
      </c>
    </row>
    <row r="413" spans="1:6" x14ac:dyDescent="0.3">
      <c r="A413">
        <v>52</v>
      </c>
      <c r="B413" t="s">
        <v>68</v>
      </c>
      <c r="C413">
        <v>1292</v>
      </c>
      <c r="D413" s="1">
        <v>4.8</v>
      </c>
      <c r="E413" s="1">
        <v>119.2</v>
      </c>
      <c r="F413" t="s">
        <v>68</v>
      </c>
    </row>
    <row r="414" spans="1:6" x14ac:dyDescent="0.3">
      <c r="A414">
        <v>52</v>
      </c>
      <c r="B414" t="s">
        <v>68</v>
      </c>
      <c r="C414">
        <v>1328</v>
      </c>
      <c r="D414" s="1">
        <v>18.3</v>
      </c>
      <c r="E414" s="1">
        <v>119.2</v>
      </c>
      <c r="F414" t="s">
        <v>68</v>
      </c>
    </row>
    <row r="415" spans="1:6" x14ac:dyDescent="0.3">
      <c r="A415">
        <v>52</v>
      </c>
      <c r="B415" t="s">
        <v>68</v>
      </c>
      <c r="C415">
        <v>1384</v>
      </c>
      <c r="D415" s="1">
        <v>7.5</v>
      </c>
      <c r="E415" s="1">
        <v>119.2</v>
      </c>
      <c r="F415" t="s">
        <v>68</v>
      </c>
    </row>
    <row r="416" spans="1:6" x14ac:dyDescent="0.3">
      <c r="A416">
        <v>53</v>
      </c>
      <c r="B416" t="s">
        <v>69</v>
      </c>
      <c r="C416">
        <v>654</v>
      </c>
      <c r="D416" s="1">
        <v>5.0999999999999996</v>
      </c>
      <c r="E416" s="1">
        <v>93.7</v>
      </c>
      <c r="F416" t="s">
        <v>69</v>
      </c>
    </row>
    <row r="417" spans="1:6" x14ac:dyDescent="0.3">
      <c r="A417">
        <v>53</v>
      </c>
      <c r="B417" t="s">
        <v>69</v>
      </c>
      <c r="C417">
        <v>703</v>
      </c>
      <c r="D417" s="1">
        <v>10.4</v>
      </c>
      <c r="E417" s="1">
        <v>93.7</v>
      </c>
      <c r="F417" t="s">
        <v>69</v>
      </c>
    </row>
    <row r="418" spans="1:6" x14ac:dyDescent="0.3">
      <c r="A418">
        <v>53</v>
      </c>
      <c r="B418" t="s">
        <v>69</v>
      </c>
      <c r="C418">
        <v>821</v>
      </c>
      <c r="D418" s="1">
        <v>7.7</v>
      </c>
      <c r="E418" s="1">
        <v>93.7</v>
      </c>
      <c r="F418" t="s">
        <v>69</v>
      </c>
    </row>
    <row r="419" spans="1:6" x14ac:dyDescent="0.3">
      <c r="A419">
        <v>53</v>
      </c>
      <c r="B419" t="s">
        <v>69</v>
      </c>
      <c r="C419">
        <v>993</v>
      </c>
      <c r="D419" s="1">
        <v>18.8</v>
      </c>
      <c r="E419" s="1">
        <v>93.7</v>
      </c>
      <c r="F419" t="s">
        <v>69</v>
      </c>
    </row>
    <row r="420" spans="1:6" x14ac:dyDescent="0.3">
      <c r="A420">
        <v>53</v>
      </c>
      <c r="B420" t="s">
        <v>69</v>
      </c>
      <c r="C420">
        <v>1030</v>
      </c>
      <c r="D420" s="1">
        <v>25.2</v>
      </c>
      <c r="E420" s="1">
        <v>93.7</v>
      </c>
      <c r="F420" t="s">
        <v>69</v>
      </c>
    </row>
    <row r="421" spans="1:6" x14ac:dyDescent="0.3">
      <c r="A421">
        <v>53</v>
      </c>
      <c r="B421" t="s">
        <v>69</v>
      </c>
      <c r="C421">
        <v>1278</v>
      </c>
      <c r="D421" s="1">
        <v>5.3</v>
      </c>
      <c r="E421" s="1">
        <v>93.7</v>
      </c>
      <c r="F421" t="s">
        <v>69</v>
      </c>
    </row>
    <row r="422" spans="1:6" x14ac:dyDescent="0.3">
      <c r="A422">
        <v>53</v>
      </c>
      <c r="B422" t="s">
        <v>69</v>
      </c>
      <c r="C422">
        <v>1296</v>
      </c>
      <c r="D422" s="1">
        <v>10.6</v>
      </c>
      <c r="E422" s="1">
        <v>93.7</v>
      </c>
      <c r="F422" t="s">
        <v>69</v>
      </c>
    </row>
    <row r="423" spans="1:6" x14ac:dyDescent="0.3">
      <c r="A423">
        <v>53</v>
      </c>
      <c r="B423" t="s">
        <v>69</v>
      </c>
      <c r="C423">
        <v>1333</v>
      </c>
      <c r="D423" s="1">
        <v>10.6</v>
      </c>
      <c r="E423" s="1">
        <v>93.7</v>
      </c>
      <c r="F423" t="s">
        <v>69</v>
      </c>
    </row>
    <row r="424" spans="1:6" x14ac:dyDescent="0.3">
      <c r="A424">
        <v>54</v>
      </c>
      <c r="B424" t="s">
        <v>70</v>
      </c>
      <c r="C424">
        <v>658</v>
      </c>
      <c r="D424" s="1">
        <v>5.2</v>
      </c>
      <c r="E424" s="1">
        <v>135.4</v>
      </c>
      <c r="F424" t="s">
        <v>70</v>
      </c>
    </row>
    <row r="425" spans="1:6" x14ac:dyDescent="0.3">
      <c r="A425">
        <v>54</v>
      </c>
      <c r="B425" t="s">
        <v>70</v>
      </c>
      <c r="C425">
        <v>709</v>
      </c>
      <c r="D425" s="1">
        <v>15</v>
      </c>
      <c r="E425" s="1">
        <v>135.4</v>
      </c>
      <c r="F425" t="s">
        <v>70</v>
      </c>
    </row>
    <row r="426" spans="1:6" x14ac:dyDescent="0.3">
      <c r="A426">
        <v>54</v>
      </c>
      <c r="B426" t="s">
        <v>70</v>
      </c>
      <c r="C426">
        <v>826</v>
      </c>
      <c r="D426" s="1">
        <v>12.6</v>
      </c>
      <c r="E426" s="1">
        <v>135.4</v>
      </c>
      <c r="F426" t="s">
        <v>70</v>
      </c>
    </row>
    <row r="427" spans="1:6" x14ac:dyDescent="0.3">
      <c r="A427">
        <v>54</v>
      </c>
      <c r="B427" t="s">
        <v>70</v>
      </c>
      <c r="C427">
        <v>842</v>
      </c>
      <c r="D427" s="1">
        <v>33.1</v>
      </c>
      <c r="E427" s="1">
        <v>135.4</v>
      </c>
      <c r="F427" t="s">
        <v>70</v>
      </c>
    </row>
    <row r="428" spans="1:6" x14ac:dyDescent="0.3">
      <c r="A428">
        <v>54</v>
      </c>
      <c r="B428" t="s">
        <v>70</v>
      </c>
      <c r="C428">
        <v>997</v>
      </c>
      <c r="D428" s="1">
        <v>15.2</v>
      </c>
      <c r="E428" s="1">
        <v>135.4</v>
      </c>
      <c r="F428" t="s">
        <v>70</v>
      </c>
    </row>
    <row r="429" spans="1:6" x14ac:dyDescent="0.3">
      <c r="A429">
        <v>54</v>
      </c>
      <c r="B429" t="s">
        <v>70</v>
      </c>
      <c r="C429">
        <v>1033</v>
      </c>
      <c r="D429" s="1">
        <v>22</v>
      </c>
      <c r="E429" s="1">
        <v>135.4</v>
      </c>
      <c r="F429" t="s">
        <v>70</v>
      </c>
    </row>
    <row r="430" spans="1:6" x14ac:dyDescent="0.3">
      <c r="A430">
        <v>54</v>
      </c>
      <c r="B430" t="s">
        <v>70</v>
      </c>
      <c r="C430">
        <v>1176</v>
      </c>
      <c r="D430" s="1">
        <v>5.3</v>
      </c>
      <c r="E430" s="1">
        <v>135.4</v>
      </c>
      <c r="F430" t="s">
        <v>70</v>
      </c>
    </row>
    <row r="431" spans="1:6" x14ac:dyDescent="0.3">
      <c r="A431">
        <v>54</v>
      </c>
      <c r="B431" t="s">
        <v>70</v>
      </c>
      <c r="C431">
        <v>1300</v>
      </c>
      <c r="D431" s="1">
        <v>7.5</v>
      </c>
      <c r="E431" s="1">
        <v>135.4</v>
      </c>
      <c r="F431" t="s">
        <v>70</v>
      </c>
    </row>
    <row r="432" spans="1:6" x14ac:dyDescent="0.3">
      <c r="A432">
        <v>54</v>
      </c>
      <c r="B432" t="s">
        <v>70</v>
      </c>
      <c r="C432">
        <v>1389</v>
      </c>
      <c r="D432" s="1">
        <v>7.5</v>
      </c>
      <c r="E432" s="1">
        <v>135.4</v>
      </c>
      <c r="F432" t="s">
        <v>70</v>
      </c>
    </row>
    <row r="433" spans="1:6" x14ac:dyDescent="0.3">
      <c r="A433">
        <v>54</v>
      </c>
      <c r="B433" t="s">
        <v>70</v>
      </c>
      <c r="C433">
        <v>1401</v>
      </c>
      <c r="D433" s="1">
        <v>12</v>
      </c>
      <c r="E433" s="1">
        <v>135.4</v>
      </c>
      <c r="F433" t="s">
        <v>70</v>
      </c>
    </row>
    <row r="434" spans="1:6" x14ac:dyDescent="0.3">
      <c r="A434">
        <v>55</v>
      </c>
      <c r="B434" t="s">
        <v>71</v>
      </c>
      <c r="C434">
        <v>662</v>
      </c>
      <c r="D434" s="1">
        <v>9.8000000000000007</v>
      </c>
      <c r="E434" s="1">
        <v>75.3</v>
      </c>
      <c r="F434" t="s">
        <v>71</v>
      </c>
    </row>
    <row r="435" spans="1:6" x14ac:dyDescent="0.3">
      <c r="A435">
        <v>55</v>
      </c>
      <c r="B435" t="s">
        <v>71</v>
      </c>
      <c r="C435">
        <v>715</v>
      </c>
      <c r="D435" s="1">
        <v>10.1</v>
      </c>
      <c r="E435" s="1">
        <v>75.3</v>
      </c>
      <c r="F435" t="s">
        <v>71</v>
      </c>
    </row>
    <row r="436" spans="1:6" x14ac:dyDescent="0.3">
      <c r="A436">
        <v>55</v>
      </c>
      <c r="B436" t="s">
        <v>71</v>
      </c>
      <c r="C436">
        <v>874</v>
      </c>
      <c r="D436" s="1">
        <v>12.8</v>
      </c>
      <c r="E436" s="1">
        <v>75.3</v>
      </c>
      <c r="F436" t="s">
        <v>71</v>
      </c>
    </row>
    <row r="437" spans="1:6" x14ac:dyDescent="0.3">
      <c r="A437">
        <v>55</v>
      </c>
      <c r="B437" t="s">
        <v>71</v>
      </c>
      <c r="C437">
        <v>902</v>
      </c>
      <c r="D437" s="1">
        <v>10.4</v>
      </c>
      <c r="E437" s="1">
        <v>75.3</v>
      </c>
      <c r="F437" t="s">
        <v>71</v>
      </c>
    </row>
    <row r="438" spans="1:6" x14ac:dyDescent="0.3">
      <c r="A438">
        <v>55</v>
      </c>
      <c r="B438" t="s">
        <v>71</v>
      </c>
      <c r="C438">
        <v>1130</v>
      </c>
      <c r="D438" s="1">
        <v>7.7</v>
      </c>
      <c r="E438" s="1">
        <v>75.3</v>
      </c>
      <c r="F438" t="s">
        <v>71</v>
      </c>
    </row>
    <row r="439" spans="1:6" x14ac:dyDescent="0.3">
      <c r="A439">
        <v>55</v>
      </c>
      <c r="B439" t="s">
        <v>71</v>
      </c>
      <c r="C439">
        <v>1205</v>
      </c>
      <c r="D439" s="1">
        <v>6.8</v>
      </c>
      <c r="E439" s="1">
        <v>75.3</v>
      </c>
      <c r="F439" t="s">
        <v>71</v>
      </c>
    </row>
    <row r="440" spans="1:6" x14ac:dyDescent="0.3">
      <c r="A440">
        <v>55</v>
      </c>
      <c r="B440" t="s">
        <v>71</v>
      </c>
      <c r="C440">
        <v>1348</v>
      </c>
      <c r="D440" s="1">
        <v>17.7</v>
      </c>
      <c r="E440" s="1">
        <v>75.3</v>
      </c>
      <c r="F440" t="s">
        <v>71</v>
      </c>
    </row>
    <row r="441" spans="1:6" x14ac:dyDescent="0.3">
      <c r="A441">
        <v>56</v>
      </c>
      <c r="B441" t="s">
        <v>72</v>
      </c>
      <c r="C441">
        <v>666</v>
      </c>
      <c r="D441" s="1">
        <v>10.4</v>
      </c>
      <c r="E441" s="1">
        <v>63.9</v>
      </c>
      <c r="F441" t="s">
        <v>72</v>
      </c>
    </row>
    <row r="442" spans="1:6" x14ac:dyDescent="0.3">
      <c r="A442">
        <v>56</v>
      </c>
      <c r="B442" t="s">
        <v>72</v>
      </c>
      <c r="C442">
        <v>721</v>
      </c>
      <c r="D442" s="1">
        <v>10.3</v>
      </c>
      <c r="E442" s="1">
        <v>63.9</v>
      </c>
      <c r="F442" t="s">
        <v>72</v>
      </c>
    </row>
    <row r="443" spans="1:6" x14ac:dyDescent="0.3">
      <c r="A443">
        <v>56</v>
      </c>
      <c r="B443" t="s">
        <v>72</v>
      </c>
      <c r="C443">
        <v>805</v>
      </c>
      <c r="D443" s="1">
        <v>4.8</v>
      </c>
      <c r="E443" s="1">
        <v>63.9</v>
      </c>
      <c r="F443" t="s">
        <v>72</v>
      </c>
    </row>
    <row r="444" spans="1:6" x14ac:dyDescent="0.3">
      <c r="A444">
        <v>56</v>
      </c>
      <c r="B444" t="s">
        <v>72</v>
      </c>
      <c r="C444">
        <v>1000</v>
      </c>
      <c r="D444" s="1">
        <v>18.2</v>
      </c>
      <c r="E444" s="1">
        <v>63.9</v>
      </c>
      <c r="F444" t="s">
        <v>72</v>
      </c>
    </row>
    <row r="445" spans="1:6" x14ac:dyDescent="0.3">
      <c r="A445">
        <v>56</v>
      </c>
      <c r="B445" t="s">
        <v>72</v>
      </c>
      <c r="C445">
        <v>1108</v>
      </c>
      <c r="D445" s="1">
        <v>7.7</v>
      </c>
      <c r="E445" s="1">
        <v>63.9</v>
      </c>
      <c r="F445" t="s">
        <v>72</v>
      </c>
    </row>
    <row r="446" spans="1:6" x14ac:dyDescent="0.3">
      <c r="A446">
        <v>56</v>
      </c>
      <c r="B446" t="s">
        <v>72</v>
      </c>
      <c r="C446">
        <v>1228</v>
      </c>
      <c r="D446" s="1">
        <v>4.8</v>
      </c>
      <c r="E446" s="1">
        <v>63.9</v>
      </c>
      <c r="F446" t="s">
        <v>72</v>
      </c>
    </row>
    <row r="447" spans="1:6" x14ac:dyDescent="0.3">
      <c r="A447">
        <v>56</v>
      </c>
      <c r="B447" t="s">
        <v>72</v>
      </c>
      <c r="C447">
        <v>1303</v>
      </c>
      <c r="D447" s="1">
        <v>7.7</v>
      </c>
      <c r="E447" s="1">
        <v>63.9</v>
      </c>
      <c r="F447" t="s">
        <v>72</v>
      </c>
    </row>
    <row r="448" spans="1:6" x14ac:dyDescent="0.3">
      <c r="A448">
        <v>57</v>
      </c>
      <c r="B448" t="s">
        <v>73</v>
      </c>
      <c r="C448">
        <v>670</v>
      </c>
      <c r="D448" s="1">
        <v>14.8</v>
      </c>
      <c r="E448" s="1">
        <v>39.6</v>
      </c>
      <c r="F448" t="s">
        <v>73</v>
      </c>
    </row>
    <row r="449" spans="1:6" x14ac:dyDescent="0.3">
      <c r="A449">
        <v>57</v>
      </c>
      <c r="B449" t="s">
        <v>73</v>
      </c>
      <c r="C449">
        <v>1003</v>
      </c>
      <c r="D449" s="1">
        <v>17.3</v>
      </c>
      <c r="E449" s="1">
        <v>39.6</v>
      </c>
      <c r="F449" t="s">
        <v>73</v>
      </c>
    </row>
    <row r="450" spans="1:6" x14ac:dyDescent="0.3">
      <c r="A450">
        <v>57</v>
      </c>
      <c r="B450" t="s">
        <v>73</v>
      </c>
      <c r="C450">
        <v>1306</v>
      </c>
      <c r="D450" s="1">
        <v>7.5</v>
      </c>
      <c r="E450" s="1">
        <v>39.6</v>
      </c>
      <c r="F450" t="s">
        <v>73</v>
      </c>
    </row>
    <row r="451" spans="1:6" x14ac:dyDescent="0.3">
      <c r="A451">
        <v>58</v>
      </c>
      <c r="B451" t="s">
        <v>74</v>
      </c>
      <c r="C451">
        <v>673</v>
      </c>
      <c r="D451" s="1">
        <v>5.2</v>
      </c>
      <c r="E451" s="1">
        <v>32.9</v>
      </c>
      <c r="F451" t="s">
        <v>74</v>
      </c>
    </row>
    <row r="452" spans="1:6" x14ac:dyDescent="0.3">
      <c r="A452">
        <v>58</v>
      </c>
      <c r="B452" t="s">
        <v>74</v>
      </c>
      <c r="C452">
        <v>1006</v>
      </c>
      <c r="D452" s="1">
        <v>18.100000000000001</v>
      </c>
      <c r="E452" s="1">
        <v>32.9</v>
      </c>
      <c r="F452" t="s">
        <v>74</v>
      </c>
    </row>
    <row r="453" spans="1:6" x14ac:dyDescent="0.3">
      <c r="A453">
        <v>58</v>
      </c>
      <c r="B453" t="s">
        <v>74</v>
      </c>
      <c r="C453">
        <v>1309</v>
      </c>
      <c r="D453" s="1">
        <v>9.6</v>
      </c>
      <c r="E453" s="1">
        <v>32.9</v>
      </c>
      <c r="F453" t="s">
        <v>74</v>
      </c>
    </row>
    <row r="454" spans="1:6" x14ac:dyDescent="0.3">
      <c r="A454">
        <v>59</v>
      </c>
      <c r="B454" t="s">
        <v>75</v>
      </c>
      <c r="C454">
        <v>676</v>
      </c>
      <c r="D454" s="1">
        <v>27.3</v>
      </c>
      <c r="E454" s="1">
        <v>55.5</v>
      </c>
      <c r="F454" t="s">
        <v>75</v>
      </c>
    </row>
    <row r="455" spans="1:6" x14ac:dyDescent="0.3">
      <c r="A455">
        <v>59</v>
      </c>
      <c r="B455" t="s">
        <v>75</v>
      </c>
      <c r="C455">
        <v>1009</v>
      </c>
      <c r="D455" s="1">
        <v>15.3</v>
      </c>
      <c r="E455" s="1">
        <v>55.5</v>
      </c>
      <c r="F455" t="s">
        <v>75</v>
      </c>
    </row>
    <row r="456" spans="1:6" x14ac:dyDescent="0.3">
      <c r="A456">
        <v>59</v>
      </c>
      <c r="B456" t="s">
        <v>75</v>
      </c>
      <c r="C456">
        <v>1312</v>
      </c>
      <c r="D456" s="1">
        <v>5.2</v>
      </c>
      <c r="E456" s="1">
        <v>55.5</v>
      </c>
      <c r="F456" t="s">
        <v>75</v>
      </c>
    </row>
    <row r="457" spans="1:6" x14ac:dyDescent="0.3">
      <c r="A457">
        <v>59</v>
      </c>
      <c r="B457" t="s">
        <v>75</v>
      </c>
      <c r="C457">
        <v>1334</v>
      </c>
      <c r="D457" s="1">
        <v>7.7</v>
      </c>
      <c r="E457" s="1">
        <v>55.5</v>
      </c>
      <c r="F457" t="s">
        <v>75</v>
      </c>
    </row>
    <row r="458" spans="1:6" x14ac:dyDescent="0.3">
      <c r="A458">
        <v>60</v>
      </c>
      <c r="B458" t="s">
        <v>76</v>
      </c>
      <c r="C458">
        <v>639</v>
      </c>
      <c r="D458" s="1">
        <v>9.4</v>
      </c>
      <c r="E458" s="1">
        <v>37.200000000000003</v>
      </c>
      <c r="F458" t="s">
        <v>76</v>
      </c>
    </row>
    <row r="459" spans="1:6" x14ac:dyDescent="0.3">
      <c r="A459">
        <v>60</v>
      </c>
      <c r="B459" t="s">
        <v>76</v>
      </c>
      <c r="C459">
        <v>983</v>
      </c>
      <c r="D459" s="1">
        <v>7.5</v>
      </c>
      <c r="E459" s="1">
        <v>37.200000000000003</v>
      </c>
      <c r="F459" t="s">
        <v>76</v>
      </c>
    </row>
    <row r="460" spans="1:6" x14ac:dyDescent="0.3">
      <c r="A460">
        <v>60</v>
      </c>
      <c r="B460" t="s">
        <v>76</v>
      </c>
      <c r="C460">
        <v>1268</v>
      </c>
      <c r="D460" s="1">
        <v>5.3</v>
      </c>
      <c r="E460" s="1">
        <v>37.200000000000003</v>
      </c>
      <c r="F460" t="s">
        <v>76</v>
      </c>
    </row>
    <row r="461" spans="1:6" x14ac:dyDescent="0.3">
      <c r="A461">
        <v>60</v>
      </c>
      <c r="B461" t="s">
        <v>76</v>
      </c>
      <c r="C461">
        <v>1286</v>
      </c>
      <c r="D461" s="1">
        <v>15</v>
      </c>
      <c r="E461" s="1">
        <v>37.200000000000003</v>
      </c>
      <c r="F461" t="s">
        <v>76</v>
      </c>
    </row>
    <row r="462" spans="1:6" x14ac:dyDescent="0.3">
      <c r="A462">
        <v>61</v>
      </c>
      <c r="B462" t="s">
        <v>77</v>
      </c>
      <c r="C462">
        <v>643</v>
      </c>
      <c r="D462" s="1">
        <v>13.9</v>
      </c>
      <c r="E462" s="1">
        <v>13.9</v>
      </c>
      <c r="F462" t="s">
        <v>77</v>
      </c>
    </row>
    <row r="463" spans="1:6" x14ac:dyDescent="0.3">
      <c r="A463">
        <v>62</v>
      </c>
      <c r="B463" t="s">
        <v>78</v>
      </c>
      <c r="C463">
        <v>647</v>
      </c>
      <c r="D463" s="1">
        <v>10.3</v>
      </c>
      <c r="E463" s="1">
        <v>133.19999999999999</v>
      </c>
      <c r="F463" t="s">
        <v>78</v>
      </c>
    </row>
    <row r="464" spans="1:6" x14ac:dyDescent="0.3">
      <c r="A464">
        <v>62</v>
      </c>
      <c r="B464" t="s">
        <v>78</v>
      </c>
      <c r="C464">
        <v>913</v>
      </c>
      <c r="D464" s="1">
        <v>25.2</v>
      </c>
      <c r="E464" s="1">
        <v>133.19999999999999</v>
      </c>
      <c r="F464" t="s">
        <v>78</v>
      </c>
    </row>
    <row r="465" spans="1:6" x14ac:dyDescent="0.3">
      <c r="A465">
        <v>62</v>
      </c>
      <c r="B465" t="s">
        <v>78</v>
      </c>
      <c r="C465">
        <v>923</v>
      </c>
      <c r="D465" s="1">
        <v>17.600000000000001</v>
      </c>
      <c r="E465" s="1">
        <v>133.19999999999999</v>
      </c>
      <c r="F465" t="s">
        <v>78</v>
      </c>
    </row>
    <row r="466" spans="1:6" x14ac:dyDescent="0.3">
      <c r="A466">
        <v>62</v>
      </c>
      <c r="B466" t="s">
        <v>78</v>
      </c>
      <c r="C466">
        <v>987</v>
      </c>
      <c r="D466" s="1">
        <v>20.5</v>
      </c>
      <c r="E466" s="1">
        <v>133.19999999999999</v>
      </c>
      <c r="F466" t="s">
        <v>78</v>
      </c>
    </row>
    <row r="467" spans="1:6" x14ac:dyDescent="0.3">
      <c r="A467">
        <v>62</v>
      </c>
      <c r="B467" t="s">
        <v>78</v>
      </c>
      <c r="C467">
        <v>1192</v>
      </c>
      <c r="D467" s="1">
        <v>10.6</v>
      </c>
      <c r="E467" s="1">
        <v>133.19999999999999</v>
      </c>
      <c r="F467" t="s">
        <v>78</v>
      </c>
    </row>
    <row r="468" spans="1:6" x14ac:dyDescent="0.3">
      <c r="A468">
        <v>62</v>
      </c>
      <c r="B468" t="s">
        <v>78</v>
      </c>
      <c r="C468">
        <v>1216</v>
      </c>
      <c r="D468" s="1">
        <v>7.6</v>
      </c>
      <c r="E468" s="1">
        <v>133.19999999999999</v>
      </c>
      <c r="F468" t="s">
        <v>78</v>
      </c>
    </row>
    <row r="469" spans="1:6" x14ac:dyDescent="0.3">
      <c r="A469">
        <v>62</v>
      </c>
      <c r="B469" t="s">
        <v>78</v>
      </c>
      <c r="C469">
        <v>1226</v>
      </c>
      <c r="D469" s="1">
        <v>5.2</v>
      </c>
      <c r="E469" s="1">
        <v>133.19999999999999</v>
      </c>
      <c r="F469" t="s">
        <v>78</v>
      </c>
    </row>
    <row r="470" spans="1:6" x14ac:dyDescent="0.3">
      <c r="A470">
        <v>62</v>
      </c>
      <c r="B470" t="s">
        <v>78</v>
      </c>
      <c r="C470">
        <v>1272</v>
      </c>
      <c r="D470" s="1">
        <v>5.3</v>
      </c>
      <c r="E470" s="1">
        <v>133.19999999999999</v>
      </c>
      <c r="F470" t="s">
        <v>78</v>
      </c>
    </row>
    <row r="471" spans="1:6" x14ac:dyDescent="0.3">
      <c r="A471">
        <v>62</v>
      </c>
      <c r="B471" t="s">
        <v>78</v>
      </c>
      <c r="C471">
        <v>1359</v>
      </c>
      <c r="D471" s="1">
        <v>13.6</v>
      </c>
      <c r="E471" s="1">
        <v>133.19999999999999</v>
      </c>
      <c r="F471" t="s">
        <v>78</v>
      </c>
    </row>
    <row r="472" spans="1:6" x14ac:dyDescent="0.3">
      <c r="A472">
        <v>62</v>
      </c>
      <c r="B472" t="s">
        <v>78</v>
      </c>
      <c r="C472">
        <v>1369</v>
      </c>
      <c r="D472" s="1">
        <v>12.1</v>
      </c>
      <c r="E472" s="1">
        <v>133.19999999999999</v>
      </c>
      <c r="F472" t="s">
        <v>78</v>
      </c>
    </row>
    <row r="473" spans="1:6" x14ac:dyDescent="0.3">
      <c r="A473">
        <v>62</v>
      </c>
      <c r="B473" t="s">
        <v>78</v>
      </c>
      <c r="C473">
        <v>1380</v>
      </c>
      <c r="D473" s="1">
        <v>5.2</v>
      </c>
      <c r="E473" s="1">
        <v>133.19999999999999</v>
      </c>
      <c r="F473" t="s">
        <v>78</v>
      </c>
    </row>
    <row r="474" spans="1:6" x14ac:dyDescent="0.3">
      <c r="A474">
        <v>63</v>
      </c>
      <c r="B474" t="s">
        <v>79</v>
      </c>
      <c r="C474">
        <v>651</v>
      </c>
      <c r="D474" s="1">
        <v>9.4</v>
      </c>
      <c r="E474" s="1">
        <v>36.6</v>
      </c>
      <c r="F474" t="s">
        <v>79</v>
      </c>
    </row>
    <row r="475" spans="1:6" x14ac:dyDescent="0.3">
      <c r="A475">
        <v>63</v>
      </c>
      <c r="B475" t="s">
        <v>79</v>
      </c>
      <c r="C475">
        <v>990</v>
      </c>
      <c r="D475" s="1">
        <v>12</v>
      </c>
      <c r="E475" s="1">
        <v>36.6</v>
      </c>
      <c r="F475" t="s">
        <v>79</v>
      </c>
    </row>
    <row r="476" spans="1:6" x14ac:dyDescent="0.3">
      <c r="A476">
        <v>63</v>
      </c>
      <c r="B476" t="s">
        <v>79</v>
      </c>
      <c r="C476">
        <v>1275</v>
      </c>
      <c r="D476" s="1">
        <v>7.7</v>
      </c>
      <c r="E476" s="1">
        <v>36.6</v>
      </c>
      <c r="F476" t="s">
        <v>79</v>
      </c>
    </row>
    <row r="477" spans="1:6" x14ac:dyDescent="0.3">
      <c r="A477">
        <v>63</v>
      </c>
      <c r="B477" t="s">
        <v>79</v>
      </c>
      <c r="C477">
        <v>1293</v>
      </c>
      <c r="D477" s="1">
        <v>7.5</v>
      </c>
      <c r="E477" s="1">
        <v>36.6</v>
      </c>
      <c r="F477" t="s">
        <v>79</v>
      </c>
    </row>
    <row r="478" spans="1:6" x14ac:dyDescent="0.3">
      <c r="A478">
        <v>64</v>
      </c>
      <c r="B478" t="s">
        <v>80</v>
      </c>
      <c r="C478">
        <v>655</v>
      </c>
      <c r="D478" s="1">
        <v>7.4</v>
      </c>
      <c r="E478" s="1">
        <v>46.3</v>
      </c>
      <c r="F478" t="s">
        <v>80</v>
      </c>
    </row>
    <row r="479" spans="1:6" x14ac:dyDescent="0.3">
      <c r="A479">
        <v>64</v>
      </c>
      <c r="B479" t="s">
        <v>80</v>
      </c>
      <c r="C479">
        <v>994</v>
      </c>
      <c r="D479" s="1">
        <v>12.3</v>
      </c>
      <c r="E479" s="1">
        <v>46.3</v>
      </c>
      <c r="F479" t="s">
        <v>80</v>
      </c>
    </row>
    <row r="480" spans="1:6" x14ac:dyDescent="0.3">
      <c r="A480">
        <v>64</v>
      </c>
      <c r="B480" t="s">
        <v>80</v>
      </c>
      <c r="C480">
        <v>1279</v>
      </c>
      <c r="D480" s="1">
        <v>19.100000000000001</v>
      </c>
      <c r="E480" s="1">
        <v>46.3</v>
      </c>
      <c r="F480" t="s">
        <v>80</v>
      </c>
    </row>
    <row r="481" spans="1:6" x14ac:dyDescent="0.3">
      <c r="A481">
        <v>64</v>
      </c>
      <c r="B481" t="s">
        <v>80</v>
      </c>
      <c r="C481">
        <v>1297</v>
      </c>
      <c r="D481" s="1">
        <v>7.5</v>
      </c>
      <c r="E481" s="1">
        <v>46.3</v>
      </c>
      <c r="F481" t="s">
        <v>80</v>
      </c>
    </row>
    <row r="482" spans="1:6" x14ac:dyDescent="0.3">
      <c r="A482">
        <v>65</v>
      </c>
      <c r="B482" t="s">
        <v>81</v>
      </c>
      <c r="C482">
        <v>659</v>
      </c>
      <c r="D482" s="1">
        <v>7.4</v>
      </c>
      <c r="E482" s="1">
        <v>11.5</v>
      </c>
      <c r="F482" t="s">
        <v>81</v>
      </c>
    </row>
    <row r="483" spans="1:6" x14ac:dyDescent="0.3">
      <c r="A483">
        <v>65</v>
      </c>
      <c r="B483" t="s">
        <v>81</v>
      </c>
      <c r="C483">
        <v>1403</v>
      </c>
      <c r="D483" s="1">
        <v>4.0999999999999996</v>
      </c>
      <c r="E483" s="1">
        <v>11.5</v>
      </c>
      <c r="F483" t="s">
        <v>81</v>
      </c>
    </row>
    <row r="484" spans="1:6" x14ac:dyDescent="0.3">
      <c r="A484">
        <v>66</v>
      </c>
      <c r="B484" t="s">
        <v>82</v>
      </c>
      <c r="C484">
        <v>663</v>
      </c>
      <c r="D484" s="1">
        <v>4.7</v>
      </c>
      <c r="E484" s="1">
        <v>9.9</v>
      </c>
      <c r="F484" t="s">
        <v>82</v>
      </c>
    </row>
    <row r="485" spans="1:6" x14ac:dyDescent="0.3">
      <c r="A485">
        <v>66</v>
      </c>
      <c r="B485" t="s">
        <v>82</v>
      </c>
      <c r="C485">
        <v>1378</v>
      </c>
      <c r="D485" s="1">
        <v>5.2</v>
      </c>
      <c r="E485" s="1">
        <v>9.9</v>
      </c>
      <c r="F485" t="s">
        <v>82</v>
      </c>
    </row>
    <row r="486" spans="1:6" x14ac:dyDescent="0.3">
      <c r="A486">
        <v>67</v>
      </c>
      <c r="B486" t="s">
        <v>83</v>
      </c>
      <c r="C486">
        <v>584</v>
      </c>
      <c r="D486" s="1">
        <v>7.4</v>
      </c>
      <c r="E486" s="1">
        <v>109.3</v>
      </c>
      <c r="F486" t="s">
        <v>83</v>
      </c>
    </row>
    <row r="487" spans="1:6" x14ac:dyDescent="0.3">
      <c r="A487">
        <v>67</v>
      </c>
      <c r="B487" t="s">
        <v>83</v>
      </c>
      <c r="C487">
        <v>590</v>
      </c>
      <c r="D487" s="1">
        <v>9.8000000000000007</v>
      </c>
      <c r="E487" s="1">
        <v>109.3</v>
      </c>
      <c r="F487" t="s">
        <v>83</v>
      </c>
    </row>
    <row r="488" spans="1:6" x14ac:dyDescent="0.3">
      <c r="A488">
        <v>67</v>
      </c>
      <c r="B488" t="s">
        <v>83</v>
      </c>
      <c r="C488">
        <v>667</v>
      </c>
      <c r="D488" s="1">
        <v>7.6</v>
      </c>
      <c r="E488" s="1">
        <v>109.3</v>
      </c>
      <c r="F488" t="s">
        <v>83</v>
      </c>
    </row>
    <row r="489" spans="1:6" x14ac:dyDescent="0.3">
      <c r="A489">
        <v>67</v>
      </c>
      <c r="B489" t="s">
        <v>83</v>
      </c>
      <c r="C489">
        <v>940</v>
      </c>
      <c r="D489" s="1">
        <v>12.6</v>
      </c>
      <c r="E489" s="1">
        <v>109.3</v>
      </c>
      <c r="F489" t="s">
        <v>83</v>
      </c>
    </row>
    <row r="490" spans="1:6" x14ac:dyDescent="0.3">
      <c r="A490">
        <v>67</v>
      </c>
      <c r="B490" t="s">
        <v>83</v>
      </c>
      <c r="C490">
        <v>1231</v>
      </c>
      <c r="D490" s="1">
        <v>10</v>
      </c>
      <c r="E490" s="1">
        <v>109.3</v>
      </c>
      <c r="F490" t="s">
        <v>83</v>
      </c>
    </row>
    <row r="491" spans="1:6" x14ac:dyDescent="0.3">
      <c r="A491">
        <v>67</v>
      </c>
      <c r="B491" t="s">
        <v>83</v>
      </c>
      <c r="C491">
        <v>1243</v>
      </c>
      <c r="D491" s="1">
        <v>7.7</v>
      </c>
      <c r="E491" s="1">
        <v>109.3</v>
      </c>
      <c r="F491" t="s">
        <v>83</v>
      </c>
    </row>
    <row r="492" spans="1:6" x14ac:dyDescent="0.3">
      <c r="A492">
        <v>67</v>
      </c>
      <c r="B492" t="s">
        <v>83</v>
      </c>
      <c r="C492">
        <v>1304</v>
      </c>
      <c r="D492" s="1">
        <v>7.7</v>
      </c>
      <c r="E492" s="1">
        <v>109.3</v>
      </c>
      <c r="F492" t="s">
        <v>83</v>
      </c>
    </row>
    <row r="493" spans="1:6" x14ac:dyDescent="0.3">
      <c r="A493">
        <v>67</v>
      </c>
      <c r="B493" t="s">
        <v>83</v>
      </c>
      <c r="C493">
        <v>1377</v>
      </c>
      <c r="D493" s="1">
        <v>7.5</v>
      </c>
      <c r="E493" s="1">
        <v>109.3</v>
      </c>
      <c r="F493" t="s">
        <v>83</v>
      </c>
    </row>
    <row r="494" spans="1:6" x14ac:dyDescent="0.3">
      <c r="A494">
        <v>67</v>
      </c>
      <c r="B494" t="s">
        <v>83</v>
      </c>
      <c r="C494">
        <v>1383</v>
      </c>
      <c r="D494" s="1">
        <v>10.4</v>
      </c>
      <c r="E494" s="1">
        <v>109.3</v>
      </c>
      <c r="F494" t="s">
        <v>83</v>
      </c>
    </row>
    <row r="495" spans="1:6" x14ac:dyDescent="0.3">
      <c r="A495">
        <v>67</v>
      </c>
      <c r="B495" t="s">
        <v>83</v>
      </c>
      <c r="C495">
        <v>1392</v>
      </c>
      <c r="D495" s="1">
        <v>10.5</v>
      </c>
      <c r="E495" s="1">
        <v>109.3</v>
      </c>
      <c r="F495" t="s">
        <v>83</v>
      </c>
    </row>
    <row r="496" spans="1:6" x14ac:dyDescent="0.3">
      <c r="A496">
        <v>67</v>
      </c>
      <c r="B496" t="s">
        <v>83</v>
      </c>
      <c r="C496">
        <v>1402</v>
      </c>
      <c r="D496" s="1">
        <v>18.100000000000001</v>
      </c>
      <c r="E496" s="1">
        <v>109.3</v>
      </c>
      <c r="F496" t="s">
        <v>83</v>
      </c>
    </row>
    <row r="497" spans="1:6" x14ac:dyDescent="0.3">
      <c r="A497">
        <v>68</v>
      </c>
      <c r="B497" t="s">
        <v>84</v>
      </c>
      <c r="C497">
        <v>640</v>
      </c>
      <c r="D497" s="1">
        <v>14.8</v>
      </c>
      <c r="E497" s="1">
        <v>25.8</v>
      </c>
      <c r="F497" t="s">
        <v>84</v>
      </c>
    </row>
    <row r="498" spans="1:6" x14ac:dyDescent="0.3">
      <c r="A498">
        <v>68</v>
      </c>
      <c r="B498" t="s">
        <v>84</v>
      </c>
      <c r="C498">
        <v>1269</v>
      </c>
      <c r="D498" s="1">
        <v>6.8</v>
      </c>
      <c r="E498" s="1">
        <v>25.8</v>
      </c>
      <c r="F498" t="s">
        <v>84</v>
      </c>
    </row>
    <row r="499" spans="1:6" x14ac:dyDescent="0.3">
      <c r="A499">
        <v>68</v>
      </c>
      <c r="B499" t="s">
        <v>84</v>
      </c>
      <c r="C499">
        <v>1287</v>
      </c>
      <c r="D499" s="1">
        <v>4.2</v>
      </c>
      <c r="E499" s="1">
        <v>25.8</v>
      </c>
      <c r="F499" t="s">
        <v>84</v>
      </c>
    </row>
    <row r="500" spans="1:6" x14ac:dyDescent="0.3">
      <c r="A500">
        <v>69</v>
      </c>
      <c r="B500" t="s">
        <v>85</v>
      </c>
      <c r="C500">
        <v>644</v>
      </c>
      <c r="D500" s="1">
        <v>5.2</v>
      </c>
      <c r="E500" s="1">
        <v>5.2</v>
      </c>
      <c r="F500" t="s">
        <v>85</v>
      </c>
    </row>
    <row r="501" spans="1:6" x14ac:dyDescent="0.3">
      <c r="A501">
        <v>70</v>
      </c>
      <c r="B501" t="s">
        <v>86</v>
      </c>
      <c r="C501">
        <v>648</v>
      </c>
      <c r="D501" s="1">
        <v>6.5</v>
      </c>
      <c r="E501" s="1">
        <v>11.7</v>
      </c>
      <c r="F501" t="s">
        <v>86</v>
      </c>
    </row>
    <row r="502" spans="1:6" x14ac:dyDescent="0.3">
      <c r="A502">
        <v>70</v>
      </c>
      <c r="B502" t="s">
        <v>86</v>
      </c>
      <c r="C502">
        <v>1405</v>
      </c>
      <c r="D502" s="1">
        <v>5.2</v>
      </c>
      <c r="E502" s="1">
        <v>11.7</v>
      </c>
      <c r="F502" t="s">
        <v>86</v>
      </c>
    </row>
    <row r="503" spans="1:6" x14ac:dyDescent="0.3">
      <c r="A503">
        <v>71</v>
      </c>
      <c r="B503" t="s">
        <v>87</v>
      </c>
      <c r="C503">
        <v>652</v>
      </c>
      <c r="D503" s="1">
        <v>5.2</v>
      </c>
      <c r="E503" s="1">
        <v>53.1</v>
      </c>
      <c r="F503" t="s">
        <v>87</v>
      </c>
    </row>
    <row r="504" spans="1:6" x14ac:dyDescent="0.3">
      <c r="A504">
        <v>71</v>
      </c>
      <c r="B504" t="s">
        <v>87</v>
      </c>
      <c r="C504">
        <v>832</v>
      </c>
      <c r="D504" s="1">
        <v>10.6</v>
      </c>
      <c r="E504" s="1">
        <v>53.1</v>
      </c>
      <c r="F504" t="s">
        <v>87</v>
      </c>
    </row>
    <row r="505" spans="1:6" x14ac:dyDescent="0.3">
      <c r="A505">
        <v>71</v>
      </c>
      <c r="B505" t="s">
        <v>87</v>
      </c>
      <c r="C505">
        <v>859</v>
      </c>
      <c r="D505" s="1">
        <v>6.7</v>
      </c>
      <c r="E505" s="1">
        <v>53.1</v>
      </c>
      <c r="F505" t="s">
        <v>87</v>
      </c>
    </row>
    <row r="506" spans="1:6" x14ac:dyDescent="0.3">
      <c r="A506">
        <v>71</v>
      </c>
      <c r="B506" t="s">
        <v>87</v>
      </c>
      <c r="C506">
        <v>1115</v>
      </c>
      <c r="D506" s="1">
        <v>23.1</v>
      </c>
      <c r="E506" s="1">
        <v>53.1</v>
      </c>
      <c r="F506" t="s">
        <v>87</v>
      </c>
    </row>
    <row r="507" spans="1:6" x14ac:dyDescent="0.3">
      <c r="A507">
        <v>71</v>
      </c>
      <c r="B507" t="s">
        <v>87</v>
      </c>
      <c r="C507">
        <v>1162</v>
      </c>
      <c r="D507" s="1">
        <v>7.5</v>
      </c>
      <c r="E507" s="1">
        <v>53.1</v>
      </c>
      <c r="F507" t="s">
        <v>87</v>
      </c>
    </row>
    <row r="508" spans="1:6" x14ac:dyDescent="0.3">
      <c r="A508">
        <v>72</v>
      </c>
      <c r="B508" t="s">
        <v>88</v>
      </c>
      <c r="C508">
        <v>656</v>
      </c>
      <c r="D508" s="1">
        <v>5.2</v>
      </c>
      <c r="E508" s="1">
        <v>77.400000000000006</v>
      </c>
      <c r="F508" t="s">
        <v>88</v>
      </c>
    </row>
    <row r="509" spans="1:6" x14ac:dyDescent="0.3">
      <c r="A509">
        <v>72</v>
      </c>
      <c r="B509" t="s">
        <v>88</v>
      </c>
      <c r="C509">
        <v>861</v>
      </c>
      <c r="D509" s="1">
        <v>15.2</v>
      </c>
      <c r="E509" s="1">
        <v>77.400000000000006</v>
      </c>
      <c r="F509" t="s">
        <v>88</v>
      </c>
    </row>
    <row r="510" spans="1:6" x14ac:dyDescent="0.3">
      <c r="A510">
        <v>72</v>
      </c>
      <c r="B510" t="s">
        <v>88</v>
      </c>
      <c r="C510">
        <v>881</v>
      </c>
      <c r="D510" s="1">
        <v>26.7</v>
      </c>
      <c r="E510" s="1">
        <v>77.400000000000006</v>
      </c>
      <c r="F510" t="s">
        <v>88</v>
      </c>
    </row>
    <row r="511" spans="1:6" x14ac:dyDescent="0.3">
      <c r="A511">
        <v>72</v>
      </c>
      <c r="B511" t="s">
        <v>88</v>
      </c>
      <c r="C511">
        <v>1117</v>
      </c>
      <c r="D511" s="1">
        <v>4</v>
      </c>
      <c r="E511" s="1">
        <v>77.400000000000006</v>
      </c>
      <c r="F511" t="s">
        <v>88</v>
      </c>
    </row>
    <row r="512" spans="1:6" x14ac:dyDescent="0.3">
      <c r="A512">
        <v>72</v>
      </c>
      <c r="B512" t="s">
        <v>88</v>
      </c>
      <c r="C512">
        <v>1164</v>
      </c>
      <c r="D512" s="1">
        <v>10.4</v>
      </c>
      <c r="E512" s="1">
        <v>77.400000000000006</v>
      </c>
      <c r="F512" t="s">
        <v>88</v>
      </c>
    </row>
    <row r="513" spans="1:6" x14ac:dyDescent="0.3">
      <c r="A513">
        <v>72</v>
      </c>
      <c r="B513" t="s">
        <v>88</v>
      </c>
      <c r="C513">
        <v>1184</v>
      </c>
      <c r="D513" s="1">
        <v>10.6</v>
      </c>
      <c r="E513" s="1">
        <v>77.400000000000006</v>
      </c>
      <c r="F513" t="s">
        <v>88</v>
      </c>
    </row>
    <row r="514" spans="1:6" x14ac:dyDescent="0.3">
      <c r="A514">
        <v>72</v>
      </c>
      <c r="B514" t="s">
        <v>88</v>
      </c>
      <c r="C514">
        <v>1298</v>
      </c>
      <c r="D514" s="1">
        <v>5.3</v>
      </c>
      <c r="E514" s="1">
        <v>77.400000000000006</v>
      </c>
      <c r="F514" t="s">
        <v>88</v>
      </c>
    </row>
    <row r="515" spans="1:6" x14ac:dyDescent="0.3">
      <c r="A515">
        <v>73</v>
      </c>
      <c r="B515" t="s">
        <v>89</v>
      </c>
      <c r="C515">
        <v>660</v>
      </c>
      <c r="D515" s="1">
        <v>7.8</v>
      </c>
      <c r="E515" s="1">
        <v>39.5</v>
      </c>
      <c r="F515" t="s">
        <v>89</v>
      </c>
    </row>
    <row r="516" spans="1:6" x14ac:dyDescent="0.3">
      <c r="A516">
        <v>73</v>
      </c>
      <c r="B516" t="s">
        <v>89</v>
      </c>
      <c r="C516">
        <v>863</v>
      </c>
      <c r="D516" s="1">
        <v>5.3</v>
      </c>
      <c r="E516" s="1">
        <v>39.5</v>
      </c>
      <c r="F516" t="s">
        <v>89</v>
      </c>
    </row>
    <row r="517" spans="1:6" x14ac:dyDescent="0.3">
      <c r="A517">
        <v>73</v>
      </c>
      <c r="B517" t="s">
        <v>89</v>
      </c>
      <c r="C517">
        <v>1119</v>
      </c>
      <c r="D517" s="1">
        <v>7.5</v>
      </c>
      <c r="E517" s="1">
        <v>39.5</v>
      </c>
      <c r="F517" t="s">
        <v>89</v>
      </c>
    </row>
    <row r="518" spans="1:6" x14ac:dyDescent="0.3">
      <c r="A518">
        <v>73</v>
      </c>
      <c r="B518" t="s">
        <v>89</v>
      </c>
      <c r="C518">
        <v>1166</v>
      </c>
      <c r="D518" s="1">
        <v>18.899999999999999</v>
      </c>
      <c r="E518" s="1">
        <v>39.5</v>
      </c>
      <c r="F518" t="s">
        <v>89</v>
      </c>
    </row>
    <row r="519" spans="1:6" x14ac:dyDescent="0.3">
      <c r="A519">
        <v>74</v>
      </c>
      <c r="B519" t="s">
        <v>90</v>
      </c>
      <c r="C519">
        <v>664</v>
      </c>
      <c r="D519" s="1">
        <v>7.4</v>
      </c>
      <c r="E519" s="1">
        <v>59.6</v>
      </c>
      <c r="F519" t="s">
        <v>90</v>
      </c>
    </row>
    <row r="520" spans="1:6" x14ac:dyDescent="0.3">
      <c r="A520">
        <v>74</v>
      </c>
      <c r="B520" t="s">
        <v>90</v>
      </c>
      <c r="C520">
        <v>865</v>
      </c>
      <c r="D520" s="1">
        <v>7.5</v>
      </c>
      <c r="E520" s="1">
        <v>59.6</v>
      </c>
      <c r="F520" t="s">
        <v>90</v>
      </c>
    </row>
    <row r="521" spans="1:6" x14ac:dyDescent="0.3">
      <c r="A521">
        <v>74</v>
      </c>
      <c r="B521" t="s">
        <v>90</v>
      </c>
      <c r="C521">
        <v>885</v>
      </c>
      <c r="D521" s="1">
        <v>6.7</v>
      </c>
      <c r="E521" s="1">
        <v>59.6</v>
      </c>
      <c r="F521" t="s">
        <v>90</v>
      </c>
    </row>
    <row r="522" spans="1:6" x14ac:dyDescent="0.3">
      <c r="A522">
        <v>74</v>
      </c>
      <c r="B522" t="s">
        <v>90</v>
      </c>
      <c r="C522">
        <v>1121</v>
      </c>
      <c r="D522" s="1">
        <v>8.1999999999999993</v>
      </c>
      <c r="E522" s="1">
        <v>59.6</v>
      </c>
      <c r="F522" t="s">
        <v>90</v>
      </c>
    </row>
    <row r="523" spans="1:6" x14ac:dyDescent="0.3">
      <c r="A523">
        <v>74</v>
      </c>
      <c r="B523" t="s">
        <v>90</v>
      </c>
      <c r="C523">
        <v>1150</v>
      </c>
      <c r="D523" s="1">
        <v>5.2</v>
      </c>
      <c r="E523" s="1">
        <v>59.6</v>
      </c>
      <c r="F523" t="s">
        <v>90</v>
      </c>
    </row>
    <row r="524" spans="1:6" x14ac:dyDescent="0.3">
      <c r="A524">
        <v>74</v>
      </c>
      <c r="B524" t="s">
        <v>90</v>
      </c>
      <c r="C524">
        <v>1168</v>
      </c>
      <c r="D524" s="1">
        <v>11.6</v>
      </c>
      <c r="E524" s="1">
        <v>59.6</v>
      </c>
      <c r="F524" t="s">
        <v>90</v>
      </c>
    </row>
    <row r="525" spans="1:6" x14ac:dyDescent="0.3">
      <c r="A525">
        <v>74</v>
      </c>
      <c r="B525" t="s">
        <v>90</v>
      </c>
      <c r="C525">
        <v>1200</v>
      </c>
      <c r="D525" s="1">
        <v>5.3</v>
      </c>
      <c r="E525" s="1">
        <v>59.6</v>
      </c>
      <c r="F525" t="s">
        <v>90</v>
      </c>
    </row>
    <row r="526" spans="1:6" x14ac:dyDescent="0.3">
      <c r="A526">
        <v>74</v>
      </c>
      <c r="B526" t="s">
        <v>90</v>
      </c>
      <c r="C526">
        <v>1301</v>
      </c>
      <c r="D526" s="1">
        <v>7.7</v>
      </c>
      <c r="E526" s="1">
        <v>59.6</v>
      </c>
      <c r="F526" t="s">
        <v>90</v>
      </c>
    </row>
    <row r="527" spans="1:6" x14ac:dyDescent="0.3">
      <c r="A527">
        <v>75</v>
      </c>
      <c r="B527" t="s">
        <v>91</v>
      </c>
      <c r="C527">
        <v>668</v>
      </c>
      <c r="D527" s="1">
        <v>5.0999999999999996</v>
      </c>
      <c r="E527" s="1">
        <v>88.9</v>
      </c>
      <c r="F527" t="s">
        <v>91</v>
      </c>
    </row>
    <row r="528" spans="1:6" x14ac:dyDescent="0.3">
      <c r="A528">
        <v>75</v>
      </c>
      <c r="B528" t="s">
        <v>91</v>
      </c>
      <c r="C528">
        <v>843</v>
      </c>
      <c r="D528" s="1">
        <v>17.100000000000001</v>
      </c>
      <c r="E528" s="1">
        <v>88.9</v>
      </c>
      <c r="F528" t="s">
        <v>91</v>
      </c>
    </row>
    <row r="529" spans="1:6" x14ac:dyDescent="0.3">
      <c r="A529">
        <v>75</v>
      </c>
      <c r="B529" t="s">
        <v>91</v>
      </c>
      <c r="C529">
        <v>869</v>
      </c>
      <c r="D529" s="1">
        <v>21.7</v>
      </c>
      <c r="E529" s="1">
        <v>88.9</v>
      </c>
      <c r="F529" t="s">
        <v>91</v>
      </c>
    </row>
    <row r="530" spans="1:6" x14ac:dyDescent="0.3">
      <c r="A530">
        <v>75</v>
      </c>
      <c r="B530" t="s">
        <v>91</v>
      </c>
      <c r="C530">
        <v>891</v>
      </c>
      <c r="D530" s="1">
        <v>5.3</v>
      </c>
      <c r="E530" s="1">
        <v>88.9</v>
      </c>
      <c r="F530" t="s">
        <v>91</v>
      </c>
    </row>
    <row r="531" spans="1:6" x14ac:dyDescent="0.3">
      <c r="A531">
        <v>75</v>
      </c>
      <c r="B531" t="s">
        <v>91</v>
      </c>
      <c r="C531">
        <v>1002</v>
      </c>
      <c r="D531" s="1">
        <v>16.399999999999999</v>
      </c>
      <c r="E531" s="1">
        <v>88.9</v>
      </c>
      <c r="F531" t="s">
        <v>91</v>
      </c>
    </row>
    <row r="532" spans="1:6" x14ac:dyDescent="0.3">
      <c r="A532">
        <v>75</v>
      </c>
      <c r="B532" t="s">
        <v>91</v>
      </c>
      <c r="C532">
        <v>1125</v>
      </c>
      <c r="D532" s="1">
        <v>15</v>
      </c>
      <c r="E532" s="1">
        <v>88.9</v>
      </c>
      <c r="F532" t="s">
        <v>91</v>
      </c>
    </row>
    <row r="533" spans="1:6" x14ac:dyDescent="0.3">
      <c r="A533">
        <v>75</v>
      </c>
      <c r="B533" t="s">
        <v>91</v>
      </c>
      <c r="C533">
        <v>1156</v>
      </c>
      <c r="D533" s="1">
        <v>4.2</v>
      </c>
      <c r="E533" s="1">
        <v>88.9</v>
      </c>
      <c r="F533" t="s">
        <v>91</v>
      </c>
    </row>
    <row r="534" spans="1:6" x14ac:dyDescent="0.3">
      <c r="A534">
        <v>75</v>
      </c>
      <c r="B534" t="s">
        <v>91</v>
      </c>
      <c r="C534">
        <v>1305</v>
      </c>
      <c r="D534" s="1">
        <v>4.0999999999999996</v>
      </c>
      <c r="E534" s="1">
        <v>88.9</v>
      </c>
      <c r="F534" t="s">
        <v>91</v>
      </c>
    </row>
    <row r="535" spans="1:6" x14ac:dyDescent="0.3">
      <c r="A535">
        <v>76</v>
      </c>
      <c r="B535" t="s">
        <v>92</v>
      </c>
      <c r="C535">
        <v>671</v>
      </c>
      <c r="D535" s="1">
        <v>5.2</v>
      </c>
      <c r="E535" s="1">
        <v>44.6</v>
      </c>
      <c r="F535" t="s">
        <v>92</v>
      </c>
    </row>
    <row r="536" spans="1:6" x14ac:dyDescent="0.3">
      <c r="A536">
        <v>76</v>
      </c>
      <c r="B536" t="s">
        <v>92</v>
      </c>
      <c r="C536">
        <v>1004</v>
      </c>
      <c r="D536" s="1">
        <v>10.4</v>
      </c>
      <c r="E536" s="1">
        <v>44.6</v>
      </c>
      <c r="F536" t="s">
        <v>92</v>
      </c>
    </row>
    <row r="537" spans="1:6" x14ac:dyDescent="0.3">
      <c r="A537">
        <v>76</v>
      </c>
      <c r="B537" t="s">
        <v>92</v>
      </c>
      <c r="C537">
        <v>1307</v>
      </c>
      <c r="D537" s="1">
        <v>5.3</v>
      </c>
      <c r="E537" s="1">
        <v>44.6</v>
      </c>
      <c r="F537" t="s">
        <v>92</v>
      </c>
    </row>
    <row r="538" spans="1:6" x14ac:dyDescent="0.3">
      <c r="A538">
        <v>76</v>
      </c>
      <c r="B538" t="s">
        <v>92</v>
      </c>
      <c r="C538">
        <v>1386</v>
      </c>
      <c r="D538" s="1">
        <v>6.8</v>
      </c>
      <c r="E538" s="1">
        <v>44.6</v>
      </c>
      <c r="F538" t="s">
        <v>92</v>
      </c>
    </row>
    <row r="539" spans="1:6" x14ac:dyDescent="0.3">
      <c r="A539">
        <v>76</v>
      </c>
      <c r="B539" t="s">
        <v>92</v>
      </c>
      <c r="C539">
        <v>1396</v>
      </c>
      <c r="D539" s="1">
        <v>9.4</v>
      </c>
      <c r="E539" s="1">
        <v>44.6</v>
      </c>
      <c r="F539" t="s">
        <v>92</v>
      </c>
    </row>
    <row r="540" spans="1:6" x14ac:dyDescent="0.3">
      <c r="A540">
        <v>76</v>
      </c>
      <c r="B540" t="s">
        <v>92</v>
      </c>
      <c r="C540">
        <v>1398</v>
      </c>
      <c r="D540" s="1">
        <v>7.5</v>
      </c>
      <c r="E540" s="1">
        <v>44.6</v>
      </c>
      <c r="F540" t="s">
        <v>92</v>
      </c>
    </row>
    <row r="541" spans="1:6" x14ac:dyDescent="0.3">
      <c r="A541">
        <v>77</v>
      </c>
      <c r="B541" t="s">
        <v>93</v>
      </c>
      <c r="C541">
        <v>674</v>
      </c>
      <c r="D541" s="1">
        <v>10.4</v>
      </c>
      <c r="E541" s="1">
        <v>73.400000000000006</v>
      </c>
      <c r="F541" t="s">
        <v>93</v>
      </c>
    </row>
    <row r="542" spans="1:6" x14ac:dyDescent="0.3">
      <c r="A542">
        <v>77</v>
      </c>
      <c r="B542" t="s">
        <v>93</v>
      </c>
      <c r="C542">
        <v>850</v>
      </c>
      <c r="D542" s="1">
        <v>7.5</v>
      </c>
      <c r="E542" s="1">
        <v>73.400000000000006</v>
      </c>
      <c r="F542" t="s">
        <v>93</v>
      </c>
    </row>
    <row r="543" spans="1:6" x14ac:dyDescent="0.3">
      <c r="A543">
        <v>77</v>
      </c>
      <c r="B543" t="s">
        <v>93</v>
      </c>
      <c r="C543">
        <v>875</v>
      </c>
      <c r="D543" s="1">
        <v>27.8</v>
      </c>
      <c r="E543" s="1">
        <v>73.400000000000006</v>
      </c>
      <c r="F543" t="s">
        <v>93</v>
      </c>
    </row>
    <row r="544" spans="1:6" x14ac:dyDescent="0.3">
      <c r="A544">
        <v>77</v>
      </c>
      <c r="B544" t="s">
        <v>93</v>
      </c>
      <c r="C544">
        <v>1007</v>
      </c>
      <c r="D544" s="1">
        <v>20.2</v>
      </c>
      <c r="E544" s="1">
        <v>73.400000000000006</v>
      </c>
      <c r="F544" t="s">
        <v>93</v>
      </c>
    </row>
    <row r="545" spans="1:6" x14ac:dyDescent="0.3">
      <c r="A545">
        <v>77</v>
      </c>
      <c r="B545" t="s">
        <v>93</v>
      </c>
      <c r="C545">
        <v>1310</v>
      </c>
      <c r="D545" s="1">
        <v>7.5</v>
      </c>
      <c r="E545" s="1">
        <v>73.400000000000006</v>
      </c>
      <c r="F545" t="s">
        <v>93</v>
      </c>
    </row>
    <row r="546" spans="1:6" x14ac:dyDescent="0.3">
      <c r="A546">
        <v>78</v>
      </c>
      <c r="B546" t="s">
        <v>94</v>
      </c>
      <c r="C546">
        <v>677</v>
      </c>
      <c r="D546" s="1">
        <v>5.2</v>
      </c>
      <c r="E546" s="1">
        <v>96.1</v>
      </c>
      <c r="F546" t="s">
        <v>94</v>
      </c>
    </row>
    <row r="547" spans="1:6" x14ac:dyDescent="0.3">
      <c r="A547">
        <v>78</v>
      </c>
      <c r="B547" t="s">
        <v>94</v>
      </c>
      <c r="C547">
        <v>853</v>
      </c>
      <c r="D547" s="1">
        <v>4.8</v>
      </c>
      <c r="E547" s="1">
        <v>96.1</v>
      </c>
      <c r="F547" t="s">
        <v>94</v>
      </c>
    </row>
    <row r="548" spans="1:6" x14ac:dyDescent="0.3">
      <c r="A548">
        <v>78</v>
      </c>
      <c r="B548" t="s">
        <v>94</v>
      </c>
      <c r="C548">
        <v>873</v>
      </c>
      <c r="D548" s="1">
        <v>17.899999999999999</v>
      </c>
      <c r="E548" s="1">
        <v>96.1</v>
      </c>
      <c r="F548" t="s">
        <v>94</v>
      </c>
    </row>
    <row r="549" spans="1:6" x14ac:dyDescent="0.3">
      <c r="A549">
        <v>78</v>
      </c>
      <c r="B549" t="s">
        <v>94</v>
      </c>
      <c r="C549">
        <v>1010</v>
      </c>
      <c r="D549" s="1">
        <v>31.6</v>
      </c>
      <c r="E549" s="1">
        <v>96.1</v>
      </c>
      <c r="F549" t="s">
        <v>94</v>
      </c>
    </row>
    <row r="550" spans="1:6" x14ac:dyDescent="0.3">
      <c r="A550">
        <v>78</v>
      </c>
      <c r="B550" t="s">
        <v>94</v>
      </c>
      <c r="C550">
        <v>1129</v>
      </c>
      <c r="D550" s="1">
        <v>8.1999999999999993</v>
      </c>
      <c r="E550" s="1">
        <v>96.1</v>
      </c>
      <c r="F550" t="s">
        <v>94</v>
      </c>
    </row>
    <row r="551" spans="1:6" x14ac:dyDescent="0.3">
      <c r="A551">
        <v>78</v>
      </c>
      <c r="B551" t="s">
        <v>94</v>
      </c>
      <c r="C551">
        <v>1174</v>
      </c>
      <c r="D551" s="1">
        <v>7.5</v>
      </c>
      <c r="E551" s="1">
        <v>96.1</v>
      </c>
      <c r="F551" t="s">
        <v>94</v>
      </c>
    </row>
    <row r="552" spans="1:6" x14ac:dyDescent="0.3">
      <c r="A552">
        <v>78</v>
      </c>
      <c r="B552" t="s">
        <v>94</v>
      </c>
      <c r="C552">
        <v>1313</v>
      </c>
      <c r="D552" s="1">
        <v>10.4</v>
      </c>
      <c r="E552" s="1">
        <v>96.1</v>
      </c>
      <c r="F552" t="s">
        <v>94</v>
      </c>
    </row>
    <row r="553" spans="1:6" x14ac:dyDescent="0.3">
      <c r="A553">
        <v>78</v>
      </c>
      <c r="B553" t="s">
        <v>94</v>
      </c>
      <c r="C553">
        <v>1335</v>
      </c>
      <c r="D553" s="1">
        <v>10.5</v>
      </c>
      <c r="E553" s="1">
        <v>96.1</v>
      </c>
      <c r="F553" t="s">
        <v>94</v>
      </c>
    </row>
    <row r="554" spans="1:6" x14ac:dyDescent="0.3">
      <c r="A554">
        <v>79</v>
      </c>
      <c r="B554" t="s">
        <v>95</v>
      </c>
      <c r="C554">
        <v>641</v>
      </c>
      <c r="D554" s="1">
        <v>9.8000000000000007</v>
      </c>
      <c r="E554" s="1">
        <v>38</v>
      </c>
      <c r="F554" t="s">
        <v>95</v>
      </c>
    </row>
    <row r="555" spans="1:6" x14ac:dyDescent="0.3">
      <c r="A555">
        <v>79</v>
      </c>
      <c r="B555" t="s">
        <v>95</v>
      </c>
      <c r="C555">
        <v>985</v>
      </c>
      <c r="D555" s="1">
        <v>15.4</v>
      </c>
      <c r="E555" s="1">
        <v>38</v>
      </c>
      <c r="F555" t="s">
        <v>95</v>
      </c>
    </row>
    <row r="556" spans="1:6" x14ac:dyDescent="0.3">
      <c r="A556">
        <v>79</v>
      </c>
      <c r="B556" t="s">
        <v>95</v>
      </c>
      <c r="C556">
        <v>1270</v>
      </c>
      <c r="D556" s="1">
        <v>7.5</v>
      </c>
      <c r="E556" s="1">
        <v>38</v>
      </c>
      <c r="F556" t="s">
        <v>95</v>
      </c>
    </row>
    <row r="557" spans="1:6" x14ac:dyDescent="0.3">
      <c r="A557">
        <v>79</v>
      </c>
      <c r="B557" t="s">
        <v>95</v>
      </c>
      <c r="C557">
        <v>1288</v>
      </c>
      <c r="D557" s="1">
        <v>5.3</v>
      </c>
      <c r="E557" s="1">
        <v>38</v>
      </c>
      <c r="F557" t="s">
        <v>95</v>
      </c>
    </row>
    <row r="558" spans="1:6" x14ac:dyDescent="0.3">
      <c r="A558">
        <v>80</v>
      </c>
      <c r="B558" t="s">
        <v>96</v>
      </c>
      <c r="C558">
        <v>645</v>
      </c>
      <c r="D558" s="1">
        <v>6.5</v>
      </c>
      <c r="E558" s="1">
        <v>6.5</v>
      </c>
      <c r="F558" t="s">
        <v>96</v>
      </c>
    </row>
    <row r="559" spans="1:6" x14ac:dyDescent="0.3">
      <c r="A559">
        <v>81</v>
      </c>
      <c r="B559" t="s">
        <v>97</v>
      </c>
      <c r="C559">
        <v>649</v>
      </c>
      <c r="D559" s="1">
        <v>15</v>
      </c>
      <c r="E559" s="1">
        <v>46.6</v>
      </c>
      <c r="F559" t="s">
        <v>97</v>
      </c>
    </row>
    <row r="560" spans="1:6" x14ac:dyDescent="0.3">
      <c r="A560">
        <v>81</v>
      </c>
      <c r="B560" t="s">
        <v>97</v>
      </c>
      <c r="C560">
        <v>988</v>
      </c>
      <c r="D560" s="1">
        <v>5.0999999999999996</v>
      </c>
      <c r="E560" s="1">
        <v>46.6</v>
      </c>
      <c r="F560" t="s">
        <v>97</v>
      </c>
    </row>
    <row r="561" spans="1:6" x14ac:dyDescent="0.3">
      <c r="A561">
        <v>81</v>
      </c>
      <c r="B561" t="s">
        <v>97</v>
      </c>
      <c r="C561">
        <v>1273</v>
      </c>
      <c r="D561" s="1">
        <v>22.5</v>
      </c>
      <c r="E561" s="1">
        <v>46.6</v>
      </c>
      <c r="F561" t="s">
        <v>97</v>
      </c>
    </row>
    <row r="562" spans="1:6" x14ac:dyDescent="0.3">
      <c r="A562">
        <v>81</v>
      </c>
      <c r="B562" t="s">
        <v>97</v>
      </c>
      <c r="C562">
        <v>1291</v>
      </c>
      <c r="D562" s="1">
        <v>4</v>
      </c>
      <c r="E562" s="1">
        <v>46.6</v>
      </c>
      <c r="F562" t="s">
        <v>97</v>
      </c>
    </row>
    <row r="563" spans="1:6" x14ac:dyDescent="0.3">
      <c r="A563">
        <v>82</v>
      </c>
      <c r="B563" t="s">
        <v>98</v>
      </c>
      <c r="C563">
        <v>602</v>
      </c>
      <c r="D563" s="1">
        <v>4.9000000000000004</v>
      </c>
      <c r="E563" s="1">
        <v>156</v>
      </c>
      <c r="F563" t="s">
        <v>98</v>
      </c>
    </row>
    <row r="564" spans="1:6" x14ac:dyDescent="0.3">
      <c r="A564">
        <v>82</v>
      </c>
      <c r="B564" t="s">
        <v>98</v>
      </c>
      <c r="C564">
        <v>626</v>
      </c>
      <c r="D564" s="1">
        <v>10.3</v>
      </c>
      <c r="E564" s="1">
        <v>156</v>
      </c>
      <c r="F564" t="s">
        <v>98</v>
      </c>
    </row>
    <row r="565" spans="1:6" x14ac:dyDescent="0.3">
      <c r="A565">
        <v>82</v>
      </c>
      <c r="B565" t="s">
        <v>98</v>
      </c>
      <c r="C565">
        <v>653</v>
      </c>
      <c r="D565" s="1">
        <v>20</v>
      </c>
      <c r="E565" s="1">
        <v>156</v>
      </c>
      <c r="F565" t="s">
        <v>98</v>
      </c>
    </row>
    <row r="566" spans="1:6" x14ac:dyDescent="0.3">
      <c r="A566">
        <v>82</v>
      </c>
      <c r="B566" t="s">
        <v>98</v>
      </c>
      <c r="C566">
        <v>924</v>
      </c>
      <c r="D566" s="1">
        <v>15</v>
      </c>
      <c r="E566" s="1">
        <v>156</v>
      </c>
      <c r="F566" t="s">
        <v>98</v>
      </c>
    </row>
    <row r="567" spans="1:6" x14ac:dyDescent="0.3">
      <c r="A567">
        <v>82</v>
      </c>
      <c r="B567" t="s">
        <v>98</v>
      </c>
      <c r="C567">
        <v>952</v>
      </c>
      <c r="D567" s="1">
        <v>7.5</v>
      </c>
      <c r="E567" s="1">
        <v>156</v>
      </c>
      <c r="F567" t="s">
        <v>98</v>
      </c>
    </row>
    <row r="568" spans="1:6" x14ac:dyDescent="0.3">
      <c r="A568">
        <v>82</v>
      </c>
      <c r="B568" t="s">
        <v>98</v>
      </c>
      <c r="C568">
        <v>972</v>
      </c>
      <c r="D568" s="1">
        <v>25.4</v>
      </c>
      <c r="E568" s="1">
        <v>156</v>
      </c>
      <c r="F568" t="s">
        <v>98</v>
      </c>
    </row>
    <row r="569" spans="1:6" x14ac:dyDescent="0.3">
      <c r="A569">
        <v>82</v>
      </c>
      <c r="B569" t="s">
        <v>98</v>
      </c>
      <c r="C569">
        <v>992</v>
      </c>
      <c r="D569" s="1">
        <v>15.7</v>
      </c>
      <c r="E569" s="1">
        <v>156</v>
      </c>
      <c r="F569" t="s">
        <v>98</v>
      </c>
    </row>
    <row r="570" spans="1:6" x14ac:dyDescent="0.3">
      <c r="A570">
        <v>82</v>
      </c>
      <c r="B570" t="s">
        <v>98</v>
      </c>
      <c r="C570">
        <v>1227</v>
      </c>
      <c r="D570" s="1">
        <v>15.9</v>
      </c>
      <c r="E570" s="1">
        <v>156</v>
      </c>
      <c r="F570" t="s">
        <v>98</v>
      </c>
    </row>
    <row r="571" spans="1:6" x14ac:dyDescent="0.3">
      <c r="A571">
        <v>82</v>
      </c>
      <c r="B571" t="s">
        <v>98</v>
      </c>
      <c r="C571">
        <v>1255</v>
      </c>
      <c r="D571" s="1">
        <v>13.6</v>
      </c>
      <c r="E571" s="1">
        <v>156</v>
      </c>
      <c r="F571" t="s">
        <v>98</v>
      </c>
    </row>
    <row r="572" spans="1:6" x14ac:dyDescent="0.3">
      <c r="A572">
        <v>82</v>
      </c>
      <c r="B572" t="s">
        <v>98</v>
      </c>
      <c r="C572">
        <v>1277</v>
      </c>
      <c r="D572" s="1">
        <v>10.6</v>
      </c>
      <c r="E572" s="1">
        <v>156</v>
      </c>
      <c r="F572" t="s">
        <v>98</v>
      </c>
    </row>
    <row r="573" spans="1:6" x14ac:dyDescent="0.3">
      <c r="A573">
        <v>82</v>
      </c>
      <c r="B573" t="s">
        <v>98</v>
      </c>
      <c r="C573">
        <v>1295</v>
      </c>
      <c r="D573" s="1">
        <v>9.6</v>
      </c>
      <c r="E573" s="1">
        <v>156</v>
      </c>
      <c r="F573" t="s">
        <v>98</v>
      </c>
    </row>
    <row r="574" spans="1:6" x14ac:dyDescent="0.3">
      <c r="A574">
        <v>82</v>
      </c>
      <c r="B574" t="s">
        <v>98</v>
      </c>
      <c r="C574">
        <v>1370</v>
      </c>
      <c r="D574" s="1">
        <v>7.5</v>
      </c>
      <c r="E574" s="1">
        <v>156</v>
      </c>
      <c r="F574" t="s">
        <v>98</v>
      </c>
    </row>
    <row r="575" spans="1:6" x14ac:dyDescent="0.3">
      <c r="A575">
        <v>83</v>
      </c>
      <c r="B575" t="s">
        <v>99</v>
      </c>
      <c r="C575">
        <v>657</v>
      </c>
      <c r="D575" s="1">
        <v>10.4</v>
      </c>
      <c r="E575" s="1">
        <v>31.6</v>
      </c>
      <c r="F575" t="s">
        <v>99</v>
      </c>
    </row>
    <row r="576" spans="1:6" x14ac:dyDescent="0.3">
      <c r="A576">
        <v>83</v>
      </c>
      <c r="B576" t="s">
        <v>99</v>
      </c>
      <c r="C576">
        <v>996</v>
      </c>
      <c r="D576" s="1">
        <v>13.5</v>
      </c>
      <c r="E576" s="1">
        <v>31.6</v>
      </c>
      <c r="F576" t="s">
        <v>99</v>
      </c>
    </row>
    <row r="577" spans="1:6" x14ac:dyDescent="0.3">
      <c r="A577">
        <v>83</v>
      </c>
      <c r="B577" t="s">
        <v>99</v>
      </c>
      <c r="C577">
        <v>1299</v>
      </c>
      <c r="D577" s="1">
        <v>7.7</v>
      </c>
      <c r="E577" s="1">
        <v>31.6</v>
      </c>
      <c r="F577" t="s">
        <v>99</v>
      </c>
    </row>
    <row r="578" spans="1:6" x14ac:dyDescent="0.3">
      <c r="A578">
        <v>84</v>
      </c>
      <c r="B578" t="s">
        <v>100</v>
      </c>
      <c r="C578">
        <v>661</v>
      </c>
      <c r="D578" s="1">
        <v>10.1</v>
      </c>
      <c r="E578" s="1">
        <v>10.1</v>
      </c>
      <c r="F578" t="s">
        <v>100</v>
      </c>
    </row>
    <row r="579" spans="1:6" x14ac:dyDescent="0.3">
      <c r="A579">
        <v>85</v>
      </c>
      <c r="B579" t="s">
        <v>101</v>
      </c>
      <c r="C579">
        <v>665</v>
      </c>
      <c r="D579" s="1">
        <v>5.2</v>
      </c>
      <c r="E579" s="1">
        <v>30.5</v>
      </c>
      <c r="F579" t="s">
        <v>101</v>
      </c>
    </row>
    <row r="580" spans="1:6" x14ac:dyDescent="0.3">
      <c r="A580">
        <v>85</v>
      </c>
      <c r="B580" t="s">
        <v>101</v>
      </c>
      <c r="C580">
        <v>999</v>
      </c>
      <c r="D580" s="1">
        <v>11.7</v>
      </c>
      <c r="E580" s="1">
        <v>30.5</v>
      </c>
      <c r="F580" t="s">
        <v>101</v>
      </c>
    </row>
    <row r="581" spans="1:6" x14ac:dyDescent="0.3">
      <c r="A581">
        <v>85</v>
      </c>
      <c r="B581" t="s">
        <v>101</v>
      </c>
      <c r="C581">
        <v>1302</v>
      </c>
      <c r="D581" s="1">
        <v>13.6</v>
      </c>
      <c r="E581" s="1">
        <v>30.5</v>
      </c>
      <c r="F581" t="s">
        <v>101</v>
      </c>
    </row>
    <row r="582" spans="1:6" x14ac:dyDescent="0.3">
      <c r="A582">
        <v>86</v>
      </c>
      <c r="B582" t="s">
        <v>102</v>
      </c>
      <c r="C582">
        <v>669</v>
      </c>
      <c r="D582" s="1">
        <v>7.4</v>
      </c>
      <c r="E582" s="1">
        <v>7.4</v>
      </c>
      <c r="F582" t="s">
        <v>102</v>
      </c>
    </row>
    <row r="583" spans="1:6" x14ac:dyDescent="0.3">
      <c r="A583">
        <v>87</v>
      </c>
      <c r="B583" t="s">
        <v>103</v>
      </c>
      <c r="C583">
        <v>672</v>
      </c>
      <c r="D583" s="1">
        <v>15.2</v>
      </c>
      <c r="E583" s="1">
        <v>43</v>
      </c>
      <c r="F583" t="s">
        <v>103</v>
      </c>
    </row>
    <row r="584" spans="1:6" x14ac:dyDescent="0.3">
      <c r="A584">
        <v>87</v>
      </c>
      <c r="B584" t="s">
        <v>103</v>
      </c>
      <c r="C584">
        <v>1393</v>
      </c>
      <c r="D584" s="1">
        <v>12.8</v>
      </c>
      <c r="E584" s="1">
        <v>43</v>
      </c>
      <c r="F584" t="s">
        <v>103</v>
      </c>
    </row>
    <row r="585" spans="1:6" x14ac:dyDescent="0.3">
      <c r="A585">
        <v>87</v>
      </c>
      <c r="B585" t="s">
        <v>103</v>
      </c>
      <c r="C585">
        <v>1412</v>
      </c>
      <c r="D585" s="1">
        <v>15</v>
      </c>
      <c r="E585" s="1">
        <v>43</v>
      </c>
      <c r="F585" t="s">
        <v>103</v>
      </c>
    </row>
    <row r="586" spans="1:6" x14ac:dyDescent="0.3">
      <c r="A586">
        <v>88</v>
      </c>
      <c r="B586" t="s">
        <v>104</v>
      </c>
      <c r="C586">
        <v>675</v>
      </c>
      <c r="D586" s="1">
        <v>7.4</v>
      </c>
      <c r="E586" s="1">
        <v>37.9</v>
      </c>
      <c r="F586" t="s">
        <v>104</v>
      </c>
    </row>
    <row r="587" spans="1:6" x14ac:dyDescent="0.3">
      <c r="A587">
        <v>88</v>
      </c>
      <c r="B587" t="s">
        <v>104</v>
      </c>
      <c r="C587">
        <v>1256</v>
      </c>
      <c r="D587" s="1">
        <v>17.8</v>
      </c>
      <c r="E587" s="1">
        <v>37.9</v>
      </c>
      <c r="F587" t="s">
        <v>104</v>
      </c>
    </row>
    <row r="588" spans="1:6" x14ac:dyDescent="0.3">
      <c r="A588">
        <v>88</v>
      </c>
      <c r="B588" t="s">
        <v>104</v>
      </c>
      <c r="C588">
        <v>1311</v>
      </c>
      <c r="D588" s="1">
        <v>7.5</v>
      </c>
      <c r="E588" s="1">
        <v>37.9</v>
      </c>
      <c r="F588" t="s">
        <v>104</v>
      </c>
    </row>
    <row r="589" spans="1:6" x14ac:dyDescent="0.3">
      <c r="A589">
        <v>88</v>
      </c>
      <c r="B589" t="s">
        <v>104</v>
      </c>
      <c r="C589">
        <v>1385</v>
      </c>
      <c r="D589" s="1">
        <v>5.2</v>
      </c>
      <c r="E589" s="1">
        <v>37.9</v>
      </c>
      <c r="F589" t="s">
        <v>104</v>
      </c>
    </row>
    <row r="590" spans="1:6" x14ac:dyDescent="0.3">
      <c r="A590">
        <v>89</v>
      </c>
      <c r="B590" t="s">
        <v>105</v>
      </c>
      <c r="C590">
        <v>678</v>
      </c>
      <c r="D590" s="1">
        <v>4.9000000000000004</v>
      </c>
      <c r="E590" s="1">
        <v>4.9000000000000004</v>
      </c>
      <c r="F590" t="s">
        <v>105</v>
      </c>
    </row>
    <row r="591" spans="1:6" x14ac:dyDescent="0.3">
      <c r="A591">
        <v>90</v>
      </c>
      <c r="B591" t="s">
        <v>106</v>
      </c>
      <c r="C591">
        <v>679</v>
      </c>
      <c r="D591" s="1">
        <v>7.6</v>
      </c>
      <c r="E591" s="1">
        <v>31.8</v>
      </c>
      <c r="F591" t="s">
        <v>106</v>
      </c>
    </row>
    <row r="592" spans="1:6" x14ac:dyDescent="0.3">
      <c r="A592">
        <v>90</v>
      </c>
      <c r="B592" t="s">
        <v>106</v>
      </c>
      <c r="C592">
        <v>1379</v>
      </c>
      <c r="D592" s="1">
        <v>13.6</v>
      </c>
      <c r="E592" s="1">
        <v>31.8</v>
      </c>
      <c r="F592" t="s">
        <v>106</v>
      </c>
    </row>
    <row r="593" spans="1:6" x14ac:dyDescent="0.3">
      <c r="A593">
        <v>90</v>
      </c>
      <c r="B593" t="s">
        <v>106</v>
      </c>
      <c r="C593">
        <v>1397</v>
      </c>
      <c r="D593" s="1">
        <v>5.3</v>
      </c>
      <c r="E593" s="1">
        <v>31.8</v>
      </c>
      <c r="F593" t="s">
        <v>106</v>
      </c>
    </row>
    <row r="594" spans="1:6" x14ac:dyDescent="0.3">
      <c r="A594">
        <v>90</v>
      </c>
      <c r="B594" t="s">
        <v>106</v>
      </c>
      <c r="C594">
        <v>1399</v>
      </c>
      <c r="D594" s="1">
        <v>5.3</v>
      </c>
      <c r="E594" s="1">
        <v>31.8</v>
      </c>
      <c r="F594" t="s">
        <v>106</v>
      </c>
    </row>
    <row r="595" spans="1:6" x14ac:dyDescent="0.3">
      <c r="A595">
        <v>91</v>
      </c>
      <c r="B595" t="s">
        <v>107</v>
      </c>
      <c r="C595">
        <v>734</v>
      </c>
      <c r="D595" s="1">
        <v>10.4</v>
      </c>
      <c r="E595" s="1">
        <v>39.9</v>
      </c>
      <c r="F595" t="s">
        <v>107</v>
      </c>
    </row>
    <row r="596" spans="1:6" x14ac:dyDescent="0.3">
      <c r="A596">
        <v>91</v>
      </c>
      <c r="B596" t="s">
        <v>107</v>
      </c>
      <c r="C596">
        <v>747</v>
      </c>
      <c r="D596" s="1">
        <v>6.5</v>
      </c>
      <c r="E596" s="1">
        <v>39.9</v>
      </c>
      <c r="F596" t="s">
        <v>107</v>
      </c>
    </row>
    <row r="597" spans="1:6" x14ac:dyDescent="0.3">
      <c r="A597">
        <v>91</v>
      </c>
      <c r="B597" t="s">
        <v>107</v>
      </c>
      <c r="C597">
        <v>811</v>
      </c>
      <c r="D597" s="1">
        <v>7.5</v>
      </c>
      <c r="E597" s="1">
        <v>39.9</v>
      </c>
      <c r="F597" t="s">
        <v>107</v>
      </c>
    </row>
    <row r="598" spans="1:6" x14ac:dyDescent="0.3">
      <c r="A598">
        <v>91</v>
      </c>
      <c r="B598" t="s">
        <v>107</v>
      </c>
      <c r="C598">
        <v>1062</v>
      </c>
      <c r="D598" s="1">
        <v>15.5</v>
      </c>
      <c r="E598" s="1">
        <v>39.9</v>
      </c>
      <c r="F598" t="s">
        <v>107</v>
      </c>
    </row>
    <row r="599" spans="1:6" x14ac:dyDescent="0.3">
      <c r="A599">
        <v>92</v>
      </c>
      <c r="B599" t="s">
        <v>108</v>
      </c>
      <c r="C599">
        <v>695</v>
      </c>
      <c r="D599" s="1">
        <v>4.7</v>
      </c>
      <c r="E599" s="1">
        <v>39.9</v>
      </c>
      <c r="F599" t="s">
        <v>108</v>
      </c>
    </row>
    <row r="600" spans="1:6" x14ac:dyDescent="0.3">
      <c r="A600">
        <v>92</v>
      </c>
      <c r="B600" t="s">
        <v>108</v>
      </c>
      <c r="C600">
        <v>707</v>
      </c>
      <c r="D600" s="1">
        <v>22.8</v>
      </c>
      <c r="E600" s="1">
        <v>39.9</v>
      </c>
      <c r="F600" t="s">
        <v>108</v>
      </c>
    </row>
    <row r="601" spans="1:6" x14ac:dyDescent="0.3">
      <c r="A601">
        <v>92</v>
      </c>
      <c r="B601" t="s">
        <v>108</v>
      </c>
      <c r="C601">
        <v>748</v>
      </c>
      <c r="D601" s="1">
        <v>4.9000000000000004</v>
      </c>
      <c r="E601" s="1">
        <v>39.9</v>
      </c>
      <c r="F601" t="s">
        <v>108</v>
      </c>
    </row>
    <row r="602" spans="1:6" x14ac:dyDescent="0.3">
      <c r="A602">
        <v>92</v>
      </c>
      <c r="B602" t="s">
        <v>108</v>
      </c>
      <c r="C602">
        <v>1063</v>
      </c>
      <c r="D602" s="1">
        <v>7.5</v>
      </c>
      <c r="E602" s="1">
        <v>39.9</v>
      </c>
      <c r="F602" t="s">
        <v>108</v>
      </c>
    </row>
    <row r="603" spans="1:6" x14ac:dyDescent="0.3">
      <c r="A603">
        <v>93</v>
      </c>
      <c r="B603" t="s">
        <v>109</v>
      </c>
      <c r="C603">
        <v>713</v>
      </c>
      <c r="D603" s="1">
        <v>15.2</v>
      </c>
      <c r="E603" s="1">
        <v>33.4</v>
      </c>
      <c r="F603" t="s">
        <v>109</v>
      </c>
    </row>
    <row r="604" spans="1:6" x14ac:dyDescent="0.3">
      <c r="A604">
        <v>93</v>
      </c>
      <c r="B604" t="s">
        <v>109</v>
      </c>
      <c r="C604">
        <v>749</v>
      </c>
      <c r="D604" s="1">
        <v>13</v>
      </c>
      <c r="E604" s="1">
        <v>33.4</v>
      </c>
      <c r="F604" t="s">
        <v>109</v>
      </c>
    </row>
    <row r="605" spans="1:6" x14ac:dyDescent="0.3">
      <c r="A605">
        <v>93</v>
      </c>
      <c r="B605" t="s">
        <v>109</v>
      </c>
      <c r="C605">
        <v>1037</v>
      </c>
      <c r="D605" s="1">
        <v>5.2</v>
      </c>
      <c r="E605" s="1">
        <v>33.4</v>
      </c>
      <c r="F605" t="s">
        <v>109</v>
      </c>
    </row>
    <row r="606" spans="1:6" x14ac:dyDescent="0.3">
      <c r="A606">
        <v>94</v>
      </c>
      <c r="B606" t="s">
        <v>88</v>
      </c>
      <c r="C606">
        <v>719</v>
      </c>
      <c r="D606" s="1">
        <v>14.1</v>
      </c>
      <c r="E606" s="1">
        <v>24.5</v>
      </c>
      <c r="F606" t="s">
        <v>88</v>
      </c>
    </row>
    <row r="607" spans="1:6" x14ac:dyDescent="0.3">
      <c r="A607">
        <v>94</v>
      </c>
      <c r="B607" t="s">
        <v>88</v>
      </c>
      <c r="C607">
        <v>750</v>
      </c>
      <c r="D607" s="1">
        <v>10.4</v>
      </c>
      <c r="E607" s="1">
        <v>24.5</v>
      </c>
      <c r="F607" t="s">
        <v>88</v>
      </c>
    </row>
    <row r="608" spans="1:6" x14ac:dyDescent="0.3">
      <c r="A608">
        <v>95</v>
      </c>
      <c r="B608" t="s">
        <v>80</v>
      </c>
      <c r="C608">
        <v>725</v>
      </c>
      <c r="D608" s="1">
        <v>13.9</v>
      </c>
      <c r="E608" s="1">
        <v>32.1</v>
      </c>
      <c r="F608" t="s">
        <v>80</v>
      </c>
    </row>
    <row r="609" spans="1:6" x14ac:dyDescent="0.3">
      <c r="A609">
        <v>95</v>
      </c>
      <c r="B609" t="s">
        <v>80</v>
      </c>
      <c r="C609">
        <v>751</v>
      </c>
      <c r="D609" s="1">
        <v>18.2</v>
      </c>
      <c r="E609" s="1">
        <v>32.1</v>
      </c>
      <c r="F609" t="s">
        <v>80</v>
      </c>
    </row>
    <row r="610" spans="1:6" x14ac:dyDescent="0.3">
      <c r="A610">
        <v>96</v>
      </c>
      <c r="B610" t="s">
        <v>88</v>
      </c>
      <c r="C610">
        <v>730</v>
      </c>
      <c r="D610" s="1">
        <v>19.5</v>
      </c>
      <c r="E610" s="1">
        <v>59</v>
      </c>
      <c r="F610" t="s">
        <v>88</v>
      </c>
    </row>
    <row r="611" spans="1:6" x14ac:dyDescent="0.3">
      <c r="A611">
        <v>96</v>
      </c>
      <c r="B611" t="s">
        <v>88</v>
      </c>
      <c r="C611">
        <v>752</v>
      </c>
      <c r="D611" s="1">
        <v>5.2</v>
      </c>
      <c r="E611" s="1">
        <v>59</v>
      </c>
      <c r="F611" t="s">
        <v>88</v>
      </c>
    </row>
    <row r="612" spans="1:6" x14ac:dyDescent="0.3">
      <c r="A612">
        <v>96</v>
      </c>
      <c r="B612" t="s">
        <v>88</v>
      </c>
      <c r="C612">
        <v>830</v>
      </c>
      <c r="D612" s="1">
        <v>7.5</v>
      </c>
      <c r="E612" s="1">
        <v>59</v>
      </c>
      <c r="F612" t="s">
        <v>88</v>
      </c>
    </row>
    <row r="613" spans="1:6" x14ac:dyDescent="0.3">
      <c r="A613">
        <v>96</v>
      </c>
      <c r="B613" t="s">
        <v>88</v>
      </c>
      <c r="C613">
        <v>837</v>
      </c>
      <c r="D613" s="1">
        <v>6.7</v>
      </c>
      <c r="E613" s="1">
        <v>59</v>
      </c>
      <c r="F613" t="s">
        <v>88</v>
      </c>
    </row>
    <row r="614" spans="1:6" x14ac:dyDescent="0.3">
      <c r="A614">
        <v>96</v>
      </c>
      <c r="B614" t="s">
        <v>88</v>
      </c>
      <c r="C614">
        <v>1049</v>
      </c>
      <c r="D614" s="1">
        <v>20.100000000000001</v>
      </c>
      <c r="E614" s="1">
        <v>59</v>
      </c>
      <c r="F614" t="s">
        <v>88</v>
      </c>
    </row>
    <row r="615" spans="1:6" x14ac:dyDescent="0.3">
      <c r="A615">
        <v>97</v>
      </c>
      <c r="B615" t="s">
        <v>92</v>
      </c>
      <c r="C615">
        <v>735</v>
      </c>
      <c r="D615" s="1">
        <v>9.8000000000000007</v>
      </c>
      <c r="E615" s="1">
        <v>34.799999999999997</v>
      </c>
      <c r="F615" t="s">
        <v>92</v>
      </c>
    </row>
    <row r="616" spans="1:6" x14ac:dyDescent="0.3">
      <c r="A616">
        <v>97</v>
      </c>
      <c r="B616" t="s">
        <v>92</v>
      </c>
      <c r="C616">
        <v>894</v>
      </c>
      <c r="D616" s="1">
        <v>7.5</v>
      </c>
      <c r="E616" s="1">
        <v>34.799999999999997</v>
      </c>
      <c r="F616" t="s">
        <v>92</v>
      </c>
    </row>
    <row r="617" spans="1:6" x14ac:dyDescent="0.3">
      <c r="A617">
        <v>97</v>
      </c>
      <c r="B617" t="s">
        <v>92</v>
      </c>
      <c r="C617">
        <v>1159</v>
      </c>
      <c r="D617" s="1">
        <v>10</v>
      </c>
      <c r="E617" s="1">
        <v>34.799999999999997</v>
      </c>
      <c r="F617" t="s">
        <v>92</v>
      </c>
    </row>
    <row r="618" spans="1:6" x14ac:dyDescent="0.3">
      <c r="A618">
        <v>97</v>
      </c>
      <c r="B618" t="s">
        <v>92</v>
      </c>
      <c r="C618">
        <v>1186</v>
      </c>
      <c r="D618" s="1">
        <v>7.5</v>
      </c>
      <c r="E618" s="1">
        <v>34.799999999999997</v>
      </c>
      <c r="F618" t="s">
        <v>92</v>
      </c>
    </row>
    <row r="619" spans="1:6" x14ac:dyDescent="0.3">
      <c r="A619">
        <v>98</v>
      </c>
      <c r="B619" t="s">
        <v>99</v>
      </c>
      <c r="C619">
        <v>739</v>
      </c>
      <c r="D619" s="1">
        <v>7.4</v>
      </c>
      <c r="E619" s="1">
        <v>108.8</v>
      </c>
      <c r="F619" t="s">
        <v>99</v>
      </c>
    </row>
    <row r="620" spans="1:6" x14ac:dyDescent="0.3">
      <c r="A620">
        <v>98</v>
      </c>
      <c r="B620" t="s">
        <v>99</v>
      </c>
      <c r="C620">
        <v>754</v>
      </c>
      <c r="D620" s="1">
        <v>7.6</v>
      </c>
      <c r="E620" s="1">
        <v>108.8</v>
      </c>
      <c r="F620" t="s">
        <v>99</v>
      </c>
    </row>
    <row r="621" spans="1:6" x14ac:dyDescent="0.3">
      <c r="A621">
        <v>98</v>
      </c>
      <c r="B621" t="s">
        <v>99</v>
      </c>
      <c r="C621">
        <v>802</v>
      </c>
      <c r="D621" s="1">
        <v>35.6</v>
      </c>
      <c r="E621" s="1">
        <v>108.8</v>
      </c>
      <c r="F621" t="s">
        <v>99</v>
      </c>
    </row>
    <row r="622" spans="1:6" x14ac:dyDescent="0.3">
      <c r="A622">
        <v>98</v>
      </c>
      <c r="B622" t="s">
        <v>99</v>
      </c>
      <c r="C622">
        <v>818</v>
      </c>
      <c r="D622" s="1">
        <v>17.8</v>
      </c>
      <c r="E622" s="1">
        <v>108.8</v>
      </c>
      <c r="F622" t="s">
        <v>99</v>
      </c>
    </row>
    <row r="623" spans="1:6" x14ac:dyDescent="0.3">
      <c r="A623">
        <v>98</v>
      </c>
      <c r="B623" t="s">
        <v>99</v>
      </c>
      <c r="C623">
        <v>1054</v>
      </c>
      <c r="D623" s="1">
        <v>15.9</v>
      </c>
      <c r="E623" s="1">
        <v>108.8</v>
      </c>
      <c r="F623" t="s">
        <v>99</v>
      </c>
    </row>
    <row r="624" spans="1:6" x14ac:dyDescent="0.3">
      <c r="A624">
        <v>98</v>
      </c>
      <c r="B624" t="s">
        <v>99</v>
      </c>
      <c r="C624">
        <v>1105</v>
      </c>
      <c r="D624" s="1">
        <v>6.8</v>
      </c>
      <c r="E624" s="1">
        <v>108.8</v>
      </c>
      <c r="F624" t="s">
        <v>99</v>
      </c>
    </row>
    <row r="625" spans="1:6" x14ac:dyDescent="0.3">
      <c r="A625">
        <v>98</v>
      </c>
      <c r="B625" t="s">
        <v>99</v>
      </c>
      <c r="C625">
        <v>1147</v>
      </c>
      <c r="D625" s="1">
        <v>13.6</v>
      </c>
      <c r="E625" s="1">
        <v>108.8</v>
      </c>
      <c r="F625" t="s">
        <v>99</v>
      </c>
    </row>
    <row r="626" spans="1:6" x14ac:dyDescent="0.3">
      <c r="A626">
        <v>98</v>
      </c>
      <c r="B626" t="s">
        <v>99</v>
      </c>
      <c r="C626">
        <v>1388</v>
      </c>
      <c r="D626" s="1">
        <v>4.0999999999999996</v>
      </c>
      <c r="E626" s="1">
        <v>108.8</v>
      </c>
      <c r="F626" t="s">
        <v>99</v>
      </c>
    </row>
    <row r="627" spans="1:6" x14ac:dyDescent="0.3">
      <c r="A627">
        <v>99</v>
      </c>
      <c r="B627" t="s">
        <v>103</v>
      </c>
      <c r="C627">
        <v>741</v>
      </c>
      <c r="D627" s="1">
        <v>22.8</v>
      </c>
      <c r="E627" s="1">
        <v>197.2</v>
      </c>
      <c r="F627" t="s">
        <v>103</v>
      </c>
    </row>
    <row r="628" spans="1:6" x14ac:dyDescent="0.3">
      <c r="A628">
        <v>99</v>
      </c>
      <c r="B628" t="s">
        <v>103</v>
      </c>
      <c r="C628">
        <v>755</v>
      </c>
      <c r="D628" s="1">
        <v>13</v>
      </c>
      <c r="E628" s="1">
        <v>197.2</v>
      </c>
      <c r="F628" t="s">
        <v>103</v>
      </c>
    </row>
    <row r="629" spans="1:6" x14ac:dyDescent="0.3">
      <c r="A629">
        <v>99</v>
      </c>
      <c r="B629" t="s">
        <v>103</v>
      </c>
      <c r="C629">
        <v>769</v>
      </c>
      <c r="D629" s="1">
        <v>5.2</v>
      </c>
      <c r="E629" s="1">
        <v>197.2</v>
      </c>
      <c r="F629" t="s">
        <v>103</v>
      </c>
    </row>
    <row r="630" spans="1:6" x14ac:dyDescent="0.3">
      <c r="A630">
        <v>99</v>
      </c>
      <c r="B630" t="s">
        <v>103</v>
      </c>
      <c r="C630">
        <v>771</v>
      </c>
      <c r="D630" s="1">
        <v>15</v>
      </c>
      <c r="E630" s="1">
        <v>197.2</v>
      </c>
      <c r="F630" t="s">
        <v>103</v>
      </c>
    </row>
    <row r="631" spans="1:6" x14ac:dyDescent="0.3">
      <c r="A631">
        <v>99</v>
      </c>
      <c r="B631" t="s">
        <v>103</v>
      </c>
      <c r="C631">
        <v>772</v>
      </c>
      <c r="D631" s="1">
        <v>14.8</v>
      </c>
      <c r="E631" s="1">
        <v>197.2</v>
      </c>
      <c r="F631" t="s">
        <v>103</v>
      </c>
    </row>
    <row r="632" spans="1:6" x14ac:dyDescent="0.3">
      <c r="A632">
        <v>99</v>
      </c>
      <c r="B632" t="s">
        <v>103</v>
      </c>
      <c r="C632">
        <v>808</v>
      </c>
      <c r="D632" s="1">
        <v>7.7</v>
      </c>
      <c r="E632" s="1">
        <v>197.2</v>
      </c>
      <c r="F632" t="s">
        <v>103</v>
      </c>
    </row>
    <row r="633" spans="1:6" x14ac:dyDescent="0.3">
      <c r="A633">
        <v>99</v>
      </c>
      <c r="B633" t="s">
        <v>103</v>
      </c>
      <c r="C633">
        <v>819</v>
      </c>
      <c r="D633" s="1">
        <v>15</v>
      </c>
      <c r="E633" s="1">
        <v>197.2</v>
      </c>
      <c r="F633" t="s">
        <v>103</v>
      </c>
    </row>
    <row r="634" spans="1:6" x14ac:dyDescent="0.3">
      <c r="A634">
        <v>99</v>
      </c>
      <c r="B634" t="s">
        <v>103</v>
      </c>
      <c r="C634">
        <v>838</v>
      </c>
      <c r="D634" s="1">
        <v>15.2</v>
      </c>
      <c r="E634" s="1">
        <v>197.2</v>
      </c>
      <c r="F634" t="s">
        <v>103</v>
      </c>
    </row>
    <row r="635" spans="1:6" x14ac:dyDescent="0.3">
      <c r="A635">
        <v>99</v>
      </c>
      <c r="B635" t="s">
        <v>103</v>
      </c>
      <c r="C635">
        <v>1064</v>
      </c>
      <c r="D635" s="1">
        <v>42.9</v>
      </c>
      <c r="E635" s="1">
        <v>197.2</v>
      </c>
      <c r="F635" t="s">
        <v>103</v>
      </c>
    </row>
    <row r="636" spans="1:6" x14ac:dyDescent="0.3">
      <c r="A636">
        <v>99</v>
      </c>
      <c r="B636" t="s">
        <v>103</v>
      </c>
      <c r="C636">
        <v>1075</v>
      </c>
      <c r="D636" s="1">
        <v>10.6</v>
      </c>
      <c r="E636" s="1">
        <v>197.2</v>
      </c>
      <c r="F636" t="s">
        <v>103</v>
      </c>
    </row>
    <row r="637" spans="1:6" x14ac:dyDescent="0.3">
      <c r="A637">
        <v>99</v>
      </c>
      <c r="B637" t="s">
        <v>103</v>
      </c>
      <c r="C637">
        <v>1077</v>
      </c>
      <c r="D637" s="1">
        <v>7.7</v>
      </c>
      <c r="E637" s="1">
        <v>197.2</v>
      </c>
      <c r="F637" t="s">
        <v>103</v>
      </c>
    </row>
    <row r="638" spans="1:6" x14ac:dyDescent="0.3">
      <c r="A638">
        <v>99</v>
      </c>
      <c r="B638" t="s">
        <v>103</v>
      </c>
      <c r="C638">
        <v>1078</v>
      </c>
      <c r="D638" s="1">
        <v>15</v>
      </c>
      <c r="E638" s="1">
        <v>197.2</v>
      </c>
      <c r="F638" t="s">
        <v>103</v>
      </c>
    </row>
    <row r="639" spans="1:6" x14ac:dyDescent="0.3">
      <c r="A639">
        <v>99</v>
      </c>
      <c r="B639" t="s">
        <v>103</v>
      </c>
      <c r="C639">
        <v>1111</v>
      </c>
      <c r="D639" s="1">
        <v>4.8</v>
      </c>
      <c r="E639" s="1">
        <v>197.2</v>
      </c>
      <c r="F639" t="s">
        <v>103</v>
      </c>
    </row>
    <row r="640" spans="1:6" x14ac:dyDescent="0.3">
      <c r="A640">
        <v>99</v>
      </c>
      <c r="B640" t="s">
        <v>103</v>
      </c>
      <c r="C640">
        <v>1171</v>
      </c>
      <c r="D640" s="1">
        <v>7.5</v>
      </c>
      <c r="E640" s="1">
        <v>197.2</v>
      </c>
      <c r="F640" t="s">
        <v>103</v>
      </c>
    </row>
    <row r="641" spans="1:6" x14ac:dyDescent="0.3">
      <c r="A641">
        <v>100</v>
      </c>
      <c r="B641" t="s">
        <v>68</v>
      </c>
      <c r="C641">
        <v>743</v>
      </c>
      <c r="D641" s="1">
        <v>10.4</v>
      </c>
      <c r="E641" s="1">
        <v>110.9</v>
      </c>
      <c r="F641" t="s">
        <v>68</v>
      </c>
    </row>
    <row r="642" spans="1:6" x14ac:dyDescent="0.3">
      <c r="A642">
        <v>100</v>
      </c>
      <c r="B642" t="s">
        <v>68</v>
      </c>
      <c r="C642">
        <v>756</v>
      </c>
      <c r="D642" s="1">
        <v>10.1</v>
      </c>
      <c r="E642" s="1">
        <v>110.9</v>
      </c>
      <c r="F642" t="s">
        <v>68</v>
      </c>
    </row>
    <row r="643" spans="1:6" x14ac:dyDescent="0.3">
      <c r="A643">
        <v>100</v>
      </c>
      <c r="B643" t="s">
        <v>68</v>
      </c>
      <c r="C643">
        <v>759</v>
      </c>
      <c r="D643" s="1">
        <v>30</v>
      </c>
      <c r="E643" s="1">
        <v>110.9</v>
      </c>
      <c r="F643" t="s">
        <v>68</v>
      </c>
    </row>
    <row r="644" spans="1:6" x14ac:dyDescent="0.3">
      <c r="A644">
        <v>100</v>
      </c>
      <c r="B644" t="s">
        <v>68</v>
      </c>
      <c r="C644">
        <v>774</v>
      </c>
      <c r="D644" s="1">
        <v>5.2</v>
      </c>
      <c r="E644" s="1">
        <v>110.9</v>
      </c>
      <c r="F644" t="s">
        <v>68</v>
      </c>
    </row>
    <row r="645" spans="1:6" x14ac:dyDescent="0.3">
      <c r="A645">
        <v>100</v>
      </c>
      <c r="B645" t="s">
        <v>68</v>
      </c>
      <c r="C645">
        <v>841</v>
      </c>
      <c r="D645" s="1">
        <v>12.8</v>
      </c>
      <c r="E645" s="1">
        <v>110.9</v>
      </c>
      <c r="F645" t="s">
        <v>68</v>
      </c>
    </row>
    <row r="646" spans="1:6" x14ac:dyDescent="0.3">
      <c r="A646">
        <v>100</v>
      </c>
      <c r="B646" t="s">
        <v>68</v>
      </c>
      <c r="C646">
        <v>1065</v>
      </c>
      <c r="D646" s="1">
        <v>42.4</v>
      </c>
      <c r="E646" s="1">
        <v>110.9</v>
      </c>
      <c r="F646" t="s">
        <v>68</v>
      </c>
    </row>
    <row r="647" spans="1:6" x14ac:dyDescent="0.3">
      <c r="A647">
        <v>101</v>
      </c>
      <c r="B647" t="s">
        <v>69</v>
      </c>
      <c r="C647">
        <v>745</v>
      </c>
      <c r="D647" s="1">
        <v>10.199999999999999</v>
      </c>
      <c r="E647" s="1">
        <v>87.9</v>
      </c>
      <c r="F647" t="s">
        <v>69</v>
      </c>
    </row>
    <row r="648" spans="1:6" x14ac:dyDescent="0.3">
      <c r="A648">
        <v>101</v>
      </c>
      <c r="B648" t="s">
        <v>69</v>
      </c>
      <c r="C648">
        <v>758</v>
      </c>
      <c r="D648" s="1">
        <v>4.7</v>
      </c>
      <c r="E648" s="1">
        <v>87.9</v>
      </c>
      <c r="F648" t="s">
        <v>69</v>
      </c>
    </row>
    <row r="649" spans="1:6" x14ac:dyDescent="0.3">
      <c r="A649">
        <v>101</v>
      </c>
      <c r="B649" t="s">
        <v>69</v>
      </c>
      <c r="C649">
        <v>767</v>
      </c>
      <c r="D649" s="1">
        <v>13.9</v>
      </c>
      <c r="E649" s="1">
        <v>87.9</v>
      </c>
      <c r="F649" t="s">
        <v>69</v>
      </c>
    </row>
    <row r="650" spans="1:6" x14ac:dyDescent="0.3">
      <c r="A650">
        <v>101</v>
      </c>
      <c r="B650" t="s">
        <v>69</v>
      </c>
      <c r="C650">
        <v>777</v>
      </c>
      <c r="D650" s="1">
        <v>10.4</v>
      </c>
      <c r="E650" s="1">
        <v>87.9</v>
      </c>
      <c r="F650" t="s">
        <v>69</v>
      </c>
    </row>
    <row r="651" spans="1:6" x14ac:dyDescent="0.3">
      <c r="A651">
        <v>101</v>
      </c>
      <c r="B651" t="s">
        <v>69</v>
      </c>
      <c r="C651">
        <v>810</v>
      </c>
      <c r="D651" s="1">
        <v>8</v>
      </c>
      <c r="E651" s="1">
        <v>87.9</v>
      </c>
      <c r="F651" t="s">
        <v>69</v>
      </c>
    </row>
    <row r="652" spans="1:6" x14ac:dyDescent="0.3">
      <c r="A652">
        <v>101</v>
      </c>
      <c r="B652" t="s">
        <v>69</v>
      </c>
      <c r="C652">
        <v>820</v>
      </c>
      <c r="D652" s="1">
        <v>4.8</v>
      </c>
      <c r="E652" s="1">
        <v>87.9</v>
      </c>
      <c r="F652" t="s">
        <v>69</v>
      </c>
    </row>
    <row r="653" spans="1:6" x14ac:dyDescent="0.3">
      <c r="A653">
        <v>101</v>
      </c>
      <c r="B653" t="s">
        <v>69</v>
      </c>
      <c r="C653">
        <v>845</v>
      </c>
      <c r="D653" s="1">
        <v>10.4</v>
      </c>
      <c r="E653" s="1">
        <v>87.9</v>
      </c>
      <c r="F653" t="s">
        <v>69</v>
      </c>
    </row>
    <row r="654" spans="1:6" x14ac:dyDescent="0.3">
      <c r="A654">
        <v>101</v>
      </c>
      <c r="B654" t="s">
        <v>69</v>
      </c>
      <c r="C654">
        <v>1074</v>
      </c>
      <c r="D654" s="1">
        <v>10.6</v>
      </c>
      <c r="E654" s="1">
        <v>87.9</v>
      </c>
      <c r="F654" t="s">
        <v>69</v>
      </c>
    </row>
    <row r="655" spans="1:6" x14ac:dyDescent="0.3">
      <c r="A655">
        <v>101</v>
      </c>
      <c r="B655" t="s">
        <v>69</v>
      </c>
      <c r="C655">
        <v>1173</v>
      </c>
      <c r="D655" s="1">
        <v>5.3</v>
      </c>
      <c r="E655" s="1">
        <v>87.9</v>
      </c>
      <c r="F655" t="s">
        <v>69</v>
      </c>
    </row>
    <row r="656" spans="1:6" x14ac:dyDescent="0.3">
      <c r="A656">
        <v>101</v>
      </c>
      <c r="B656" t="s">
        <v>69</v>
      </c>
      <c r="C656">
        <v>1410</v>
      </c>
      <c r="D656" s="1">
        <v>9.6</v>
      </c>
      <c r="E656" s="1">
        <v>87.9</v>
      </c>
      <c r="F656" t="s">
        <v>69</v>
      </c>
    </row>
    <row r="657" spans="1:6" x14ac:dyDescent="0.3">
      <c r="A657">
        <v>102</v>
      </c>
      <c r="B657" t="s">
        <v>70</v>
      </c>
      <c r="C657">
        <v>760</v>
      </c>
      <c r="D657" s="1">
        <v>5.0999999999999996</v>
      </c>
      <c r="E657" s="1">
        <v>47</v>
      </c>
      <c r="F657" t="s">
        <v>70</v>
      </c>
    </row>
    <row r="658" spans="1:6" x14ac:dyDescent="0.3">
      <c r="A658">
        <v>102</v>
      </c>
      <c r="B658" t="s">
        <v>70</v>
      </c>
      <c r="C658">
        <v>780</v>
      </c>
      <c r="D658" s="1">
        <v>23.2</v>
      </c>
      <c r="E658" s="1">
        <v>47</v>
      </c>
      <c r="F658" t="s">
        <v>70</v>
      </c>
    </row>
    <row r="659" spans="1:6" x14ac:dyDescent="0.3">
      <c r="A659">
        <v>102</v>
      </c>
      <c r="B659" t="s">
        <v>70</v>
      </c>
      <c r="C659">
        <v>1067</v>
      </c>
      <c r="D659" s="1">
        <v>18.7</v>
      </c>
      <c r="E659" s="1">
        <v>47</v>
      </c>
      <c r="F659" t="s">
        <v>70</v>
      </c>
    </row>
    <row r="660" spans="1:6" x14ac:dyDescent="0.3">
      <c r="A660">
        <v>103</v>
      </c>
      <c r="B660" t="s">
        <v>68</v>
      </c>
      <c r="C660">
        <v>757</v>
      </c>
      <c r="D660" s="1">
        <v>13</v>
      </c>
      <c r="E660" s="1">
        <v>36.5</v>
      </c>
      <c r="F660" t="s">
        <v>68</v>
      </c>
    </row>
    <row r="661" spans="1:6" x14ac:dyDescent="0.3">
      <c r="A661">
        <v>103</v>
      </c>
      <c r="B661" t="s">
        <v>68</v>
      </c>
      <c r="C661">
        <v>762</v>
      </c>
      <c r="D661" s="1">
        <v>5.2</v>
      </c>
      <c r="E661" s="1">
        <v>36.5</v>
      </c>
      <c r="F661" t="s">
        <v>68</v>
      </c>
    </row>
    <row r="662" spans="1:6" x14ac:dyDescent="0.3">
      <c r="A662">
        <v>103</v>
      </c>
      <c r="B662" t="s">
        <v>68</v>
      </c>
      <c r="C662">
        <v>812</v>
      </c>
      <c r="D662" s="1">
        <v>10.6</v>
      </c>
      <c r="E662" s="1">
        <v>36.5</v>
      </c>
      <c r="F662" t="s">
        <v>68</v>
      </c>
    </row>
    <row r="663" spans="1:6" x14ac:dyDescent="0.3">
      <c r="A663">
        <v>103</v>
      </c>
      <c r="B663" t="s">
        <v>68</v>
      </c>
      <c r="C663">
        <v>1069</v>
      </c>
      <c r="D663" s="1">
        <v>7.7</v>
      </c>
      <c r="E663" s="1">
        <v>36.5</v>
      </c>
      <c r="F663" t="s">
        <v>68</v>
      </c>
    </row>
    <row r="664" spans="1:6" x14ac:dyDescent="0.3">
      <c r="A664">
        <v>104</v>
      </c>
      <c r="B664" t="s">
        <v>69</v>
      </c>
      <c r="C664">
        <v>764</v>
      </c>
      <c r="D664" s="1">
        <v>5.2</v>
      </c>
      <c r="E664" s="1">
        <v>15.6</v>
      </c>
      <c r="F664" t="s">
        <v>69</v>
      </c>
    </row>
    <row r="665" spans="1:6" x14ac:dyDescent="0.3">
      <c r="A665">
        <v>104</v>
      </c>
      <c r="B665" t="s">
        <v>69</v>
      </c>
      <c r="C665">
        <v>813</v>
      </c>
      <c r="D665" s="1">
        <v>10.4</v>
      </c>
      <c r="E665" s="1">
        <v>15.6</v>
      </c>
      <c r="F665" t="s">
        <v>69</v>
      </c>
    </row>
    <row r="666" spans="1:6" x14ac:dyDescent="0.3">
      <c r="A666">
        <v>105</v>
      </c>
      <c r="B666" t="s">
        <v>70</v>
      </c>
      <c r="C666">
        <v>761</v>
      </c>
      <c r="D666" s="1">
        <v>5.0999999999999996</v>
      </c>
      <c r="E666" s="1">
        <v>46.1</v>
      </c>
      <c r="F666" t="s">
        <v>70</v>
      </c>
    </row>
    <row r="667" spans="1:6" x14ac:dyDescent="0.3">
      <c r="A667">
        <v>105</v>
      </c>
      <c r="B667" t="s">
        <v>70</v>
      </c>
      <c r="C667">
        <v>766</v>
      </c>
      <c r="D667" s="1">
        <v>5.2</v>
      </c>
      <c r="E667" s="1">
        <v>46.1</v>
      </c>
      <c r="F667" t="s">
        <v>70</v>
      </c>
    </row>
    <row r="668" spans="1:6" x14ac:dyDescent="0.3">
      <c r="A668">
        <v>105</v>
      </c>
      <c r="B668" t="s">
        <v>70</v>
      </c>
      <c r="C668">
        <v>814</v>
      </c>
      <c r="D668" s="1">
        <v>18.7</v>
      </c>
      <c r="E668" s="1">
        <v>46.1</v>
      </c>
      <c r="F668" t="s">
        <v>70</v>
      </c>
    </row>
    <row r="669" spans="1:6" x14ac:dyDescent="0.3">
      <c r="A669">
        <v>105</v>
      </c>
      <c r="B669" t="s">
        <v>70</v>
      </c>
      <c r="C669">
        <v>1068</v>
      </c>
      <c r="D669" s="1">
        <v>17.100000000000001</v>
      </c>
      <c r="E669" s="1">
        <v>46.1</v>
      </c>
      <c r="F669" t="s">
        <v>70</v>
      </c>
    </row>
    <row r="670" spans="1:6" x14ac:dyDescent="0.3">
      <c r="A670">
        <v>106</v>
      </c>
      <c r="B670" t="s">
        <v>110</v>
      </c>
      <c r="C670">
        <v>763</v>
      </c>
      <c r="D670" s="1">
        <v>8</v>
      </c>
      <c r="E670" s="1">
        <v>35.700000000000003</v>
      </c>
      <c r="F670" t="s">
        <v>110</v>
      </c>
    </row>
    <row r="671" spans="1:6" x14ac:dyDescent="0.3">
      <c r="A671">
        <v>106</v>
      </c>
      <c r="B671" t="s">
        <v>110</v>
      </c>
      <c r="C671">
        <v>768</v>
      </c>
      <c r="D671" s="1">
        <v>4.7</v>
      </c>
      <c r="E671" s="1">
        <v>35.700000000000003</v>
      </c>
      <c r="F671" t="s">
        <v>110</v>
      </c>
    </row>
    <row r="672" spans="1:6" x14ac:dyDescent="0.3">
      <c r="A672">
        <v>106</v>
      </c>
      <c r="B672" t="s">
        <v>110</v>
      </c>
      <c r="C672">
        <v>840</v>
      </c>
      <c r="D672" s="1">
        <v>17.899999999999999</v>
      </c>
      <c r="E672" s="1">
        <v>35.700000000000003</v>
      </c>
      <c r="F672" t="s">
        <v>110</v>
      </c>
    </row>
    <row r="673" spans="1:6" x14ac:dyDescent="0.3">
      <c r="A673">
        <v>106</v>
      </c>
      <c r="B673" t="s">
        <v>110</v>
      </c>
      <c r="C673">
        <v>1070</v>
      </c>
      <c r="D673" s="1">
        <v>5.0999999999999996</v>
      </c>
      <c r="E673" s="1">
        <v>35.700000000000003</v>
      </c>
      <c r="F673" t="s">
        <v>110</v>
      </c>
    </row>
    <row r="674" spans="1:6" x14ac:dyDescent="0.3">
      <c r="A674">
        <v>107</v>
      </c>
      <c r="B674" t="s">
        <v>111</v>
      </c>
      <c r="C674">
        <v>765</v>
      </c>
      <c r="D674" s="1">
        <v>22.8</v>
      </c>
      <c r="E674" s="1">
        <v>84.6</v>
      </c>
      <c r="F674" t="s">
        <v>111</v>
      </c>
    </row>
    <row r="675" spans="1:6" x14ac:dyDescent="0.3">
      <c r="A675">
        <v>107</v>
      </c>
      <c r="B675" t="s">
        <v>111</v>
      </c>
      <c r="C675">
        <v>770</v>
      </c>
      <c r="D675" s="1">
        <v>6.5</v>
      </c>
      <c r="E675" s="1">
        <v>84.6</v>
      </c>
      <c r="F675" t="s">
        <v>111</v>
      </c>
    </row>
    <row r="676" spans="1:6" x14ac:dyDescent="0.3">
      <c r="A676">
        <v>107</v>
      </c>
      <c r="B676" t="s">
        <v>111</v>
      </c>
      <c r="C676">
        <v>844</v>
      </c>
      <c r="D676" s="1">
        <v>30.1</v>
      </c>
      <c r="E676" s="1">
        <v>84.6</v>
      </c>
      <c r="F676" t="s">
        <v>111</v>
      </c>
    </row>
    <row r="677" spans="1:6" x14ac:dyDescent="0.3">
      <c r="A677">
        <v>107</v>
      </c>
      <c r="B677" t="s">
        <v>111</v>
      </c>
      <c r="C677">
        <v>1072</v>
      </c>
      <c r="D677" s="1">
        <v>12.6</v>
      </c>
      <c r="E677" s="1">
        <v>84.6</v>
      </c>
      <c r="F677" t="s">
        <v>111</v>
      </c>
    </row>
    <row r="678" spans="1:6" x14ac:dyDescent="0.3">
      <c r="A678">
        <v>107</v>
      </c>
      <c r="B678" t="s">
        <v>111</v>
      </c>
      <c r="C678">
        <v>1076</v>
      </c>
      <c r="D678" s="1">
        <v>12.6</v>
      </c>
      <c r="E678" s="1">
        <v>84.6</v>
      </c>
      <c r="F678" t="s">
        <v>111</v>
      </c>
    </row>
    <row r="679" spans="1:6" x14ac:dyDescent="0.3">
      <c r="A679">
        <v>108</v>
      </c>
      <c r="B679" t="s">
        <v>112</v>
      </c>
      <c r="C679">
        <v>682</v>
      </c>
      <c r="D679" s="1">
        <v>14.8</v>
      </c>
      <c r="E679" s="1">
        <v>77.900000000000006</v>
      </c>
      <c r="F679" t="s">
        <v>112</v>
      </c>
    </row>
    <row r="680" spans="1:6" x14ac:dyDescent="0.3">
      <c r="A680">
        <v>108</v>
      </c>
      <c r="B680" t="s">
        <v>112</v>
      </c>
      <c r="C680">
        <v>753</v>
      </c>
      <c r="D680" s="1">
        <v>10.4</v>
      </c>
      <c r="E680" s="1">
        <v>77.900000000000006</v>
      </c>
      <c r="F680" t="s">
        <v>112</v>
      </c>
    </row>
    <row r="681" spans="1:6" x14ac:dyDescent="0.3">
      <c r="A681">
        <v>108</v>
      </c>
      <c r="B681" t="s">
        <v>112</v>
      </c>
      <c r="C681">
        <v>1011</v>
      </c>
      <c r="D681" s="1">
        <v>25.4</v>
      </c>
      <c r="E681" s="1">
        <v>77.900000000000006</v>
      </c>
      <c r="F681" t="s">
        <v>112</v>
      </c>
    </row>
    <row r="682" spans="1:6" x14ac:dyDescent="0.3">
      <c r="A682">
        <v>108</v>
      </c>
      <c r="B682" t="s">
        <v>112</v>
      </c>
      <c r="C682">
        <v>1314</v>
      </c>
      <c r="D682" s="1">
        <v>7.5</v>
      </c>
      <c r="E682" s="1">
        <v>77.900000000000006</v>
      </c>
      <c r="F682" t="s">
        <v>112</v>
      </c>
    </row>
    <row r="683" spans="1:6" x14ac:dyDescent="0.3">
      <c r="A683">
        <v>108</v>
      </c>
      <c r="B683" t="s">
        <v>112</v>
      </c>
      <c r="C683">
        <v>1336</v>
      </c>
      <c r="D683" s="1">
        <v>19.8</v>
      </c>
      <c r="E683" s="1">
        <v>77.900000000000006</v>
      </c>
      <c r="F683" t="s">
        <v>112</v>
      </c>
    </row>
    <row r="684" spans="1:6" x14ac:dyDescent="0.3">
      <c r="A684">
        <v>109</v>
      </c>
      <c r="B684" t="s">
        <v>113</v>
      </c>
      <c r="C684">
        <v>892</v>
      </c>
      <c r="D684" s="1">
        <v>13.5</v>
      </c>
      <c r="E684" s="1">
        <v>21</v>
      </c>
      <c r="F684" t="s">
        <v>113</v>
      </c>
    </row>
    <row r="685" spans="1:6" x14ac:dyDescent="0.3">
      <c r="A685">
        <v>109</v>
      </c>
      <c r="B685" t="s">
        <v>113</v>
      </c>
      <c r="C685">
        <v>1157</v>
      </c>
      <c r="D685" s="1">
        <v>7.5</v>
      </c>
      <c r="E685" s="1">
        <v>21</v>
      </c>
      <c r="F685" t="s">
        <v>113</v>
      </c>
    </row>
    <row r="686" spans="1:6" x14ac:dyDescent="0.3">
      <c r="A686">
        <v>110</v>
      </c>
      <c r="B686" t="s">
        <v>114</v>
      </c>
      <c r="C686">
        <v>868</v>
      </c>
      <c r="D686" s="1">
        <v>21.9</v>
      </c>
      <c r="E686" s="1">
        <v>27.2</v>
      </c>
      <c r="F686" t="s">
        <v>114</v>
      </c>
    </row>
    <row r="687" spans="1:6" x14ac:dyDescent="0.3">
      <c r="A687">
        <v>110</v>
      </c>
      <c r="B687" t="s">
        <v>114</v>
      </c>
      <c r="C687">
        <v>1124</v>
      </c>
      <c r="D687" s="1">
        <v>5.3</v>
      </c>
      <c r="E687" s="1">
        <v>27.2</v>
      </c>
      <c r="F687" t="s">
        <v>114</v>
      </c>
    </row>
    <row r="688" spans="1:6" x14ac:dyDescent="0.3">
      <c r="A688">
        <v>111</v>
      </c>
      <c r="B688" t="s">
        <v>115</v>
      </c>
      <c r="C688">
        <v>911</v>
      </c>
      <c r="D688" s="1">
        <v>10.6</v>
      </c>
      <c r="E688" s="1">
        <v>69.2</v>
      </c>
      <c r="F688" t="s">
        <v>115</v>
      </c>
    </row>
    <row r="689" spans="1:6" x14ac:dyDescent="0.3">
      <c r="A689">
        <v>111</v>
      </c>
      <c r="B689" t="s">
        <v>115</v>
      </c>
      <c r="C689">
        <v>921</v>
      </c>
      <c r="D689" s="1">
        <v>6.7</v>
      </c>
      <c r="E689" s="1">
        <v>69.2</v>
      </c>
      <c r="F689" t="s">
        <v>115</v>
      </c>
    </row>
    <row r="690" spans="1:6" x14ac:dyDescent="0.3">
      <c r="A690">
        <v>111</v>
      </c>
      <c r="B690" t="s">
        <v>115</v>
      </c>
      <c r="C690">
        <v>1190</v>
      </c>
      <c r="D690" s="1">
        <v>10.6</v>
      </c>
      <c r="E690" s="1">
        <v>69.2</v>
      </c>
      <c r="F690" t="s">
        <v>115</v>
      </c>
    </row>
    <row r="691" spans="1:6" x14ac:dyDescent="0.3">
      <c r="A691">
        <v>111</v>
      </c>
      <c r="B691" t="s">
        <v>115</v>
      </c>
      <c r="C691">
        <v>1214</v>
      </c>
      <c r="D691" s="1">
        <v>8.9</v>
      </c>
      <c r="E691" s="1">
        <v>69.2</v>
      </c>
      <c r="F691" t="s">
        <v>115</v>
      </c>
    </row>
    <row r="692" spans="1:6" x14ac:dyDescent="0.3">
      <c r="A692">
        <v>111</v>
      </c>
      <c r="B692" t="s">
        <v>115</v>
      </c>
      <c r="C692">
        <v>1224</v>
      </c>
      <c r="D692" s="1">
        <v>6.8</v>
      </c>
      <c r="E692" s="1">
        <v>69.2</v>
      </c>
      <c r="F692" t="s">
        <v>115</v>
      </c>
    </row>
    <row r="693" spans="1:6" x14ac:dyDescent="0.3">
      <c r="A693">
        <v>111</v>
      </c>
      <c r="B693" t="s">
        <v>115</v>
      </c>
      <c r="C693">
        <v>1357</v>
      </c>
      <c r="D693" s="1">
        <v>5.2</v>
      </c>
      <c r="E693" s="1">
        <v>69.2</v>
      </c>
      <c r="F693" t="s">
        <v>115</v>
      </c>
    </row>
    <row r="694" spans="1:6" x14ac:dyDescent="0.3">
      <c r="A694">
        <v>111</v>
      </c>
      <c r="B694" t="s">
        <v>115</v>
      </c>
      <c r="C694">
        <v>1367</v>
      </c>
      <c r="D694" s="1">
        <v>20.399999999999999</v>
      </c>
      <c r="E694" s="1">
        <v>69.2</v>
      </c>
      <c r="F694" t="s">
        <v>115</v>
      </c>
    </row>
    <row r="695" spans="1:6" x14ac:dyDescent="0.3">
      <c r="A695">
        <v>112</v>
      </c>
      <c r="B695" t="s">
        <v>116</v>
      </c>
      <c r="C695">
        <v>738</v>
      </c>
      <c r="D695" s="1">
        <v>5.2</v>
      </c>
      <c r="E695" s="1">
        <v>18</v>
      </c>
      <c r="F695" t="s">
        <v>116</v>
      </c>
    </row>
    <row r="696" spans="1:6" x14ac:dyDescent="0.3">
      <c r="A696">
        <v>112</v>
      </c>
      <c r="B696" t="s">
        <v>116</v>
      </c>
      <c r="C696">
        <v>1053</v>
      </c>
      <c r="D696" s="1">
        <v>12.8</v>
      </c>
      <c r="E696" s="1">
        <v>18</v>
      </c>
      <c r="F696" t="s">
        <v>116</v>
      </c>
    </row>
    <row r="697" spans="1:6" x14ac:dyDescent="0.3">
      <c r="A697">
        <v>113</v>
      </c>
      <c r="B697" t="s">
        <v>117</v>
      </c>
      <c r="C697">
        <v>785</v>
      </c>
      <c r="D697" s="1">
        <v>15.6</v>
      </c>
      <c r="E697" s="1">
        <v>71.5</v>
      </c>
      <c r="F697" t="s">
        <v>117</v>
      </c>
    </row>
    <row r="698" spans="1:6" x14ac:dyDescent="0.3">
      <c r="A698">
        <v>113</v>
      </c>
      <c r="B698" t="s">
        <v>117</v>
      </c>
      <c r="C698">
        <v>817</v>
      </c>
      <c r="D698" s="1">
        <v>7.7</v>
      </c>
      <c r="E698" s="1">
        <v>71.5</v>
      </c>
      <c r="F698" t="s">
        <v>117</v>
      </c>
    </row>
    <row r="699" spans="1:6" x14ac:dyDescent="0.3">
      <c r="A699">
        <v>113</v>
      </c>
      <c r="B699" t="s">
        <v>117</v>
      </c>
      <c r="C699">
        <v>1079</v>
      </c>
      <c r="D699" s="1">
        <v>12.7</v>
      </c>
      <c r="E699" s="1">
        <v>71.5</v>
      </c>
      <c r="F699" t="s">
        <v>117</v>
      </c>
    </row>
    <row r="700" spans="1:6" x14ac:dyDescent="0.3">
      <c r="A700">
        <v>113</v>
      </c>
      <c r="B700" t="s">
        <v>117</v>
      </c>
      <c r="C700">
        <v>1088</v>
      </c>
      <c r="D700" s="1">
        <v>7.7</v>
      </c>
      <c r="E700" s="1">
        <v>71.5</v>
      </c>
      <c r="F700" t="s">
        <v>117</v>
      </c>
    </row>
    <row r="701" spans="1:6" x14ac:dyDescent="0.3">
      <c r="A701">
        <v>113</v>
      </c>
      <c r="B701" t="s">
        <v>117</v>
      </c>
      <c r="C701">
        <v>1195</v>
      </c>
      <c r="D701" s="1">
        <v>11.9</v>
      </c>
      <c r="E701" s="1">
        <v>71.5</v>
      </c>
      <c r="F701" t="s">
        <v>117</v>
      </c>
    </row>
    <row r="702" spans="1:6" x14ac:dyDescent="0.3">
      <c r="A702">
        <v>113</v>
      </c>
      <c r="B702" t="s">
        <v>117</v>
      </c>
      <c r="C702">
        <v>1219</v>
      </c>
      <c r="D702" s="1">
        <v>10.6</v>
      </c>
      <c r="E702" s="1">
        <v>71.5</v>
      </c>
      <c r="F702" t="s">
        <v>117</v>
      </c>
    </row>
    <row r="703" spans="1:6" x14ac:dyDescent="0.3">
      <c r="A703">
        <v>113</v>
      </c>
      <c r="B703" t="s">
        <v>117</v>
      </c>
      <c r="C703">
        <v>1362</v>
      </c>
      <c r="D703" s="1">
        <v>5.3</v>
      </c>
      <c r="E703" s="1">
        <v>71.5</v>
      </c>
      <c r="F703" t="s">
        <v>117</v>
      </c>
    </row>
    <row r="704" spans="1:6" x14ac:dyDescent="0.3">
      <c r="A704">
        <v>114</v>
      </c>
      <c r="B704" t="s">
        <v>118</v>
      </c>
      <c r="C704">
        <v>786</v>
      </c>
      <c r="D704" s="1">
        <v>22.2</v>
      </c>
      <c r="E704" s="1">
        <v>55.3</v>
      </c>
      <c r="F704" t="s">
        <v>118</v>
      </c>
    </row>
    <row r="705" spans="1:6" x14ac:dyDescent="0.3">
      <c r="A705">
        <v>114</v>
      </c>
      <c r="B705" t="s">
        <v>118</v>
      </c>
      <c r="C705">
        <v>849</v>
      </c>
      <c r="D705" s="1">
        <v>15.2</v>
      </c>
      <c r="E705" s="1">
        <v>55.3</v>
      </c>
      <c r="F705" t="s">
        <v>118</v>
      </c>
    </row>
    <row r="706" spans="1:6" x14ac:dyDescent="0.3">
      <c r="A706">
        <v>114</v>
      </c>
      <c r="B706" t="s">
        <v>118</v>
      </c>
      <c r="C706">
        <v>1089</v>
      </c>
      <c r="D706" s="1">
        <v>10.4</v>
      </c>
      <c r="E706" s="1">
        <v>55.3</v>
      </c>
      <c r="F706" t="s">
        <v>118</v>
      </c>
    </row>
    <row r="707" spans="1:6" x14ac:dyDescent="0.3">
      <c r="A707">
        <v>114</v>
      </c>
      <c r="B707" t="s">
        <v>118</v>
      </c>
      <c r="C707">
        <v>1131</v>
      </c>
      <c r="D707" s="1">
        <v>7.5</v>
      </c>
      <c r="E707" s="1">
        <v>55.3</v>
      </c>
      <c r="F707" t="s">
        <v>118</v>
      </c>
    </row>
    <row r="708" spans="1:6" x14ac:dyDescent="0.3">
      <c r="A708">
        <v>115</v>
      </c>
      <c r="B708" t="s">
        <v>119</v>
      </c>
      <c r="C708">
        <v>839</v>
      </c>
      <c r="D708" s="1">
        <v>17.100000000000001</v>
      </c>
      <c r="E708" s="1">
        <v>46</v>
      </c>
      <c r="F708" t="s">
        <v>119</v>
      </c>
    </row>
    <row r="709" spans="1:6" x14ac:dyDescent="0.3">
      <c r="A709">
        <v>115</v>
      </c>
      <c r="B709" t="s">
        <v>119</v>
      </c>
      <c r="C709">
        <v>963</v>
      </c>
      <c r="D709" s="1">
        <v>7.7</v>
      </c>
      <c r="E709" s="1">
        <v>46</v>
      </c>
      <c r="F709" t="s">
        <v>119</v>
      </c>
    </row>
    <row r="710" spans="1:6" x14ac:dyDescent="0.3">
      <c r="A710">
        <v>115</v>
      </c>
      <c r="B710" t="s">
        <v>119</v>
      </c>
      <c r="C710">
        <v>1246</v>
      </c>
      <c r="D710" s="1">
        <v>5.3</v>
      </c>
      <c r="E710" s="1">
        <v>46</v>
      </c>
      <c r="F710" t="s">
        <v>119</v>
      </c>
    </row>
    <row r="711" spans="1:6" x14ac:dyDescent="0.3">
      <c r="A711">
        <v>115</v>
      </c>
      <c r="B711" t="s">
        <v>119</v>
      </c>
      <c r="C711">
        <v>1276</v>
      </c>
      <c r="D711" s="1">
        <v>10.6</v>
      </c>
      <c r="E711" s="1">
        <v>46</v>
      </c>
      <c r="F711" t="s">
        <v>119</v>
      </c>
    </row>
    <row r="712" spans="1:6" x14ac:dyDescent="0.3">
      <c r="A712">
        <v>115</v>
      </c>
      <c r="B712" t="s">
        <v>119</v>
      </c>
      <c r="C712">
        <v>1294</v>
      </c>
      <c r="D712" s="1">
        <v>5.3</v>
      </c>
      <c r="E712" s="1">
        <v>46</v>
      </c>
      <c r="F712" t="s">
        <v>119</v>
      </c>
    </row>
    <row r="713" spans="1:6" x14ac:dyDescent="0.3">
      <c r="A713">
        <v>116</v>
      </c>
      <c r="B713" t="s">
        <v>120</v>
      </c>
      <c r="C713">
        <v>1082</v>
      </c>
      <c r="D713" s="1">
        <v>15.2</v>
      </c>
      <c r="E713" s="1">
        <v>27.2</v>
      </c>
      <c r="F713" t="s">
        <v>120</v>
      </c>
    </row>
    <row r="714" spans="1:6" x14ac:dyDescent="0.3">
      <c r="A714">
        <v>116</v>
      </c>
      <c r="B714" t="s">
        <v>120</v>
      </c>
      <c r="C714">
        <v>1142</v>
      </c>
      <c r="D714" s="1">
        <v>12</v>
      </c>
      <c r="E714" s="1">
        <v>27.2</v>
      </c>
      <c r="F714" t="s">
        <v>120</v>
      </c>
    </row>
    <row r="715" spans="1:6" x14ac:dyDescent="0.3">
      <c r="A715">
        <v>117</v>
      </c>
      <c r="B715" t="s">
        <v>121</v>
      </c>
      <c r="C715">
        <v>822</v>
      </c>
      <c r="D715" s="1">
        <v>15.2</v>
      </c>
      <c r="E715" s="1">
        <v>46.2</v>
      </c>
      <c r="F715" t="s">
        <v>121</v>
      </c>
    </row>
    <row r="716" spans="1:6" x14ac:dyDescent="0.3">
      <c r="A716">
        <v>117</v>
      </c>
      <c r="B716" t="s">
        <v>121</v>
      </c>
      <c r="C716">
        <v>1093</v>
      </c>
      <c r="D716" s="1">
        <v>8.3000000000000007</v>
      </c>
      <c r="E716" s="1">
        <v>46.2</v>
      </c>
      <c r="F716" t="s">
        <v>121</v>
      </c>
    </row>
    <row r="717" spans="1:6" x14ac:dyDescent="0.3">
      <c r="A717">
        <v>117</v>
      </c>
      <c r="B717" t="s">
        <v>121</v>
      </c>
      <c r="C717">
        <v>1135</v>
      </c>
      <c r="D717" s="1">
        <v>7.7</v>
      </c>
      <c r="E717" s="1">
        <v>46.2</v>
      </c>
      <c r="F717" t="s">
        <v>121</v>
      </c>
    </row>
    <row r="718" spans="1:6" x14ac:dyDescent="0.3">
      <c r="A718">
        <v>117</v>
      </c>
      <c r="B718" t="s">
        <v>121</v>
      </c>
      <c r="C718">
        <v>1411</v>
      </c>
      <c r="D718" s="1">
        <v>15</v>
      </c>
      <c r="E718" s="1">
        <v>46.2</v>
      </c>
      <c r="F718" t="s">
        <v>121</v>
      </c>
    </row>
    <row r="719" spans="1:6" x14ac:dyDescent="0.3">
      <c r="A719">
        <v>118</v>
      </c>
      <c r="B719" t="s">
        <v>122</v>
      </c>
      <c r="C719">
        <v>884</v>
      </c>
      <c r="D719" s="1">
        <v>26.5</v>
      </c>
      <c r="E719" s="1">
        <v>96</v>
      </c>
      <c r="F719" t="s">
        <v>122</v>
      </c>
    </row>
    <row r="720" spans="1:6" x14ac:dyDescent="0.3">
      <c r="A720">
        <v>118</v>
      </c>
      <c r="B720" t="s">
        <v>122</v>
      </c>
      <c r="C720">
        <v>903</v>
      </c>
      <c r="D720" s="1">
        <v>18.7</v>
      </c>
      <c r="E720" s="1">
        <v>96</v>
      </c>
      <c r="F720" t="s">
        <v>122</v>
      </c>
    </row>
    <row r="721" spans="1:6" x14ac:dyDescent="0.3">
      <c r="A721">
        <v>118</v>
      </c>
      <c r="B721" t="s">
        <v>122</v>
      </c>
      <c r="C721">
        <v>1097</v>
      </c>
      <c r="D721" s="1">
        <v>8.9</v>
      </c>
      <c r="E721" s="1">
        <v>96</v>
      </c>
      <c r="F721" t="s">
        <v>122</v>
      </c>
    </row>
    <row r="722" spans="1:6" x14ac:dyDescent="0.3">
      <c r="A722">
        <v>118</v>
      </c>
      <c r="B722" t="s">
        <v>122</v>
      </c>
      <c r="C722">
        <v>1139</v>
      </c>
      <c r="D722" s="1">
        <v>9.9</v>
      </c>
      <c r="E722" s="1">
        <v>96</v>
      </c>
      <c r="F722" t="s">
        <v>122</v>
      </c>
    </row>
    <row r="723" spans="1:6" x14ac:dyDescent="0.3">
      <c r="A723">
        <v>118</v>
      </c>
      <c r="B723" t="s">
        <v>122</v>
      </c>
      <c r="C723">
        <v>1187</v>
      </c>
      <c r="D723" s="1">
        <v>6.8</v>
      </c>
      <c r="E723" s="1">
        <v>96</v>
      </c>
      <c r="F723" t="s">
        <v>122</v>
      </c>
    </row>
    <row r="724" spans="1:6" x14ac:dyDescent="0.3">
      <c r="A724">
        <v>118</v>
      </c>
      <c r="B724" t="s">
        <v>122</v>
      </c>
      <c r="C724">
        <v>1206</v>
      </c>
      <c r="D724" s="1">
        <v>12.3</v>
      </c>
      <c r="E724" s="1">
        <v>96</v>
      </c>
      <c r="F724" t="s">
        <v>122</v>
      </c>
    </row>
    <row r="725" spans="1:6" x14ac:dyDescent="0.3">
      <c r="A725">
        <v>118</v>
      </c>
      <c r="B725" t="s">
        <v>122</v>
      </c>
      <c r="C725">
        <v>1349</v>
      </c>
      <c r="D725" s="1">
        <v>12.9</v>
      </c>
      <c r="E725" s="1">
        <v>96</v>
      </c>
      <c r="F725" t="s">
        <v>122</v>
      </c>
    </row>
    <row r="726" spans="1:6" x14ac:dyDescent="0.3">
      <c r="A726">
        <v>119</v>
      </c>
      <c r="B726" t="s">
        <v>123</v>
      </c>
      <c r="C726">
        <v>797</v>
      </c>
      <c r="D726" s="1">
        <v>4.8</v>
      </c>
      <c r="E726" s="1">
        <v>31.3</v>
      </c>
      <c r="F726" t="s">
        <v>123</v>
      </c>
    </row>
    <row r="727" spans="1:6" x14ac:dyDescent="0.3">
      <c r="A727">
        <v>119</v>
      </c>
      <c r="B727" t="s">
        <v>123</v>
      </c>
      <c r="C727">
        <v>857</v>
      </c>
      <c r="D727" s="1">
        <v>5.0999999999999996</v>
      </c>
      <c r="E727" s="1">
        <v>31.3</v>
      </c>
      <c r="F727" t="s">
        <v>123</v>
      </c>
    </row>
    <row r="728" spans="1:6" x14ac:dyDescent="0.3">
      <c r="A728">
        <v>119</v>
      </c>
      <c r="B728" t="s">
        <v>123</v>
      </c>
      <c r="C728">
        <v>1100</v>
      </c>
      <c r="D728" s="1">
        <v>6.8</v>
      </c>
      <c r="E728" s="1">
        <v>31.3</v>
      </c>
      <c r="F728" t="s">
        <v>123</v>
      </c>
    </row>
    <row r="729" spans="1:6" x14ac:dyDescent="0.3">
      <c r="A729">
        <v>119</v>
      </c>
      <c r="B729" t="s">
        <v>123</v>
      </c>
      <c r="C729">
        <v>1113</v>
      </c>
      <c r="D729" s="1">
        <v>4</v>
      </c>
      <c r="E729" s="1">
        <v>31.3</v>
      </c>
      <c r="F729" t="s">
        <v>123</v>
      </c>
    </row>
    <row r="730" spans="1:6" x14ac:dyDescent="0.3">
      <c r="A730">
        <v>119</v>
      </c>
      <c r="B730" t="s">
        <v>123</v>
      </c>
      <c r="C730">
        <v>1178</v>
      </c>
      <c r="D730" s="1">
        <v>10.6</v>
      </c>
      <c r="E730" s="1">
        <v>31.3</v>
      </c>
      <c r="F730" t="s">
        <v>123</v>
      </c>
    </row>
    <row r="731" spans="1:6" x14ac:dyDescent="0.3">
      <c r="A731">
        <v>120</v>
      </c>
      <c r="B731" t="s">
        <v>124</v>
      </c>
      <c r="C731">
        <v>879</v>
      </c>
      <c r="D731" s="1">
        <v>23.1</v>
      </c>
      <c r="E731" s="1">
        <v>98.7</v>
      </c>
      <c r="F731" t="s">
        <v>124</v>
      </c>
    </row>
    <row r="732" spans="1:6" x14ac:dyDescent="0.3">
      <c r="A732">
        <v>120</v>
      </c>
      <c r="B732" t="s">
        <v>124</v>
      </c>
      <c r="C732">
        <v>899</v>
      </c>
      <c r="D732" s="1">
        <v>18.100000000000001</v>
      </c>
      <c r="E732" s="1">
        <v>98.7</v>
      </c>
      <c r="F732" t="s">
        <v>124</v>
      </c>
    </row>
    <row r="733" spans="1:6" x14ac:dyDescent="0.3">
      <c r="A733">
        <v>120</v>
      </c>
      <c r="B733" t="s">
        <v>124</v>
      </c>
      <c r="C733">
        <v>1102</v>
      </c>
      <c r="D733" s="1">
        <v>11.7</v>
      </c>
      <c r="E733" s="1">
        <v>98.7</v>
      </c>
      <c r="F733" t="s">
        <v>124</v>
      </c>
    </row>
    <row r="734" spans="1:6" x14ac:dyDescent="0.3">
      <c r="A734">
        <v>120</v>
      </c>
      <c r="B734" t="s">
        <v>124</v>
      </c>
      <c r="C734">
        <v>1144</v>
      </c>
      <c r="D734" s="1">
        <v>10.6</v>
      </c>
      <c r="E734" s="1">
        <v>98.7</v>
      </c>
      <c r="F734" t="s">
        <v>124</v>
      </c>
    </row>
    <row r="735" spans="1:6" x14ac:dyDescent="0.3">
      <c r="A735">
        <v>120</v>
      </c>
      <c r="B735" t="s">
        <v>124</v>
      </c>
      <c r="C735">
        <v>1182</v>
      </c>
      <c r="D735" s="1">
        <v>5.2</v>
      </c>
      <c r="E735" s="1">
        <v>98.7</v>
      </c>
      <c r="F735" t="s">
        <v>124</v>
      </c>
    </row>
    <row r="736" spans="1:6" x14ac:dyDescent="0.3">
      <c r="A736">
        <v>120</v>
      </c>
      <c r="B736" t="s">
        <v>124</v>
      </c>
      <c r="C736">
        <v>1202</v>
      </c>
      <c r="D736" s="1">
        <v>22.5</v>
      </c>
      <c r="E736" s="1">
        <v>98.7</v>
      </c>
      <c r="F736" t="s">
        <v>124</v>
      </c>
    </row>
    <row r="737" spans="1:6" x14ac:dyDescent="0.3">
      <c r="A737">
        <v>120</v>
      </c>
      <c r="B737" t="s">
        <v>124</v>
      </c>
      <c r="C737">
        <v>1253</v>
      </c>
      <c r="D737" s="1">
        <v>7.5</v>
      </c>
      <c r="E737" s="1">
        <v>98.7</v>
      </c>
      <c r="F737" t="s">
        <v>124</v>
      </c>
    </row>
    <row r="738" spans="1:6" x14ac:dyDescent="0.3">
      <c r="A738">
        <v>121</v>
      </c>
      <c r="B738" t="s">
        <v>125</v>
      </c>
      <c r="C738">
        <v>800</v>
      </c>
      <c r="D738" s="1">
        <v>10.6</v>
      </c>
      <c r="E738" s="1">
        <v>35.200000000000003</v>
      </c>
      <c r="F738" t="s">
        <v>125</v>
      </c>
    </row>
    <row r="739" spans="1:6" x14ac:dyDescent="0.3">
      <c r="A739">
        <v>121</v>
      </c>
      <c r="B739" t="s">
        <v>125</v>
      </c>
      <c r="C739">
        <v>1103</v>
      </c>
      <c r="D739" s="1">
        <v>4.0999999999999996</v>
      </c>
      <c r="E739" s="1">
        <v>35.200000000000003</v>
      </c>
      <c r="F739" t="s">
        <v>125</v>
      </c>
    </row>
    <row r="740" spans="1:6" x14ac:dyDescent="0.3">
      <c r="A740">
        <v>121</v>
      </c>
      <c r="B740" t="s">
        <v>125</v>
      </c>
      <c r="C740">
        <v>1145</v>
      </c>
      <c r="D740" s="1">
        <v>20.5</v>
      </c>
      <c r="E740" s="1">
        <v>35.200000000000003</v>
      </c>
      <c r="F740" t="s">
        <v>125</v>
      </c>
    </row>
    <row r="741" spans="1:6" x14ac:dyDescent="0.3">
      <c r="A741">
        <v>122</v>
      </c>
      <c r="B741" t="s">
        <v>126</v>
      </c>
      <c r="C741">
        <v>864</v>
      </c>
      <c r="D741" s="1">
        <v>9.6</v>
      </c>
      <c r="E741" s="1">
        <v>106.7</v>
      </c>
      <c r="F741" t="s">
        <v>126</v>
      </c>
    </row>
    <row r="742" spans="1:6" x14ac:dyDescent="0.3">
      <c r="A742">
        <v>122</v>
      </c>
      <c r="B742" t="s">
        <v>126</v>
      </c>
      <c r="C742">
        <v>1022</v>
      </c>
      <c r="D742" s="1">
        <v>15.2</v>
      </c>
      <c r="E742" s="1">
        <v>106.7</v>
      </c>
      <c r="F742" t="s">
        <v>126</v>
      </c>
    </row>
    <row r="743" spans="1:6" x14ac:dyDescent="0.3">
      <c r="A743">
        <v>122</v>
      </c>
      <c r="B743" t="s">
        <v>126</v>
      </c>
      <c r="C743">
        <v>1107</v>
      </c>
      <c r="D743" s="1">
        <v>20.399999999999999</v>
      </c>
      <c r="E743" s="1">
        <v>106.7</v>
      </c>
      <c r="F743" t="s">
        <v>126</v>
      </c>
    </row>
    <row r="744" spans="1:6" x14ac:dyDescent="0.3">
      <c r="A744">
        <v>122</v>
      </c>
      <c r="B744" t="s">
        <v>126</v>
      </c>
      <c r="C744">
        <v>1120</v>
      </c>
      <c r="D744" s="1">
        <v>5.2</v>
      </c>
      <c r="E744" s="1">
        <v>106.7</v>
      </c>
      <c r="F744" t="s">
        <v>126</v>
      </c>
    </row>
    <row r="745" spans="1:6" x14ac:dyDescent="0.3">
      <c r="A745">
        <v>122</v>
      </c>
      <c r="B745" t="s">
        <v>126</v>
      </c>
      <c r="C745">
        <v>1149</v>
      </c>
      <c r="D745" s="1">
        <v>15.7</v>
      </c>
      <c r="E745" s="1">
        <v>106.7</v>
      </c>
      <c r="F745" t="s">
        <v>126</v>
      </c>
    </row>
    <row r="746" spans="1:6" x14ac:dyDescent="0.3">
      <c r="A746">
        <v>122</v>
      </c>
      <c r="B746" t="s">
        <v>126</v>
      </c>
      <c r="C746">
        <v>1167</v>
      </c>
      <c r="D746" s="1">
        <v>10.6</v>
      </c>
      <c r="E746" s="1">
        <v>106.7</v>
      </c>
      <c r="F746" t="s">
        <v>126</v>
      </c>
    </row>
    <row r="747" spans="1:6" x14ac:dyDescent="0.3">
      <c r="A747">
        <v>122</v>
      </c>
      <c r="B747" t="s">
        <v>126</v>
      </c>
      <c r="C747">
        <v>1325</v>
      </c>
      <c r="D747" s="1">
        <v>30</v>
      </c>
      <c r="E747" s="1">
        <v>106.7</v>
      </c>
      <c r="F747" t="s">
        <v>126</v>
      </c>
    </row>
    <row r="748" spans="1:6" x14ac:dyDescent="0.3">
      <c r="A748">
        <v>123</v>
      </c>
      <c r="B748" t="s">
        <v>127</v>
      </c>
      <c r="C748">
        <v>807</v>
      </c>
      <c r="D748" s="1">
        <v>9.6</v>
      </c>
      <c r="E748" s="1">
        <v>66.5</v>
      </c>
      <c r="F748" t="s">
        <v>127</v>
      </c>
    </row>
    <row r="749" spans="1:6" x14ac:dyDescent="0.3">
      <c r="A749">
        <v>123</v>
      </c>
      <c r="B749" t="s">
        <v>127</v>
      </c>
      <c r="C749">
        <v>1060</v>
      </c>
      <c r="D749" s="1">
        <v>15</v>
      </c>
      <c r="E749" s="1">
        <v>66.5</v>
      </c>
      <c r="F749" t="s">
        <v>127</v>
      </c>
    </row>
    <row r="750" spans="1:6" x14ac:dyDescent="0.3">
      <c r="A750">
        <v>123</v>
      </c>
      <c r="B750" t="s">
        <v>127</v>
      </c>
      <c r="C750">
        <v>1110</v>
      </c>
      <c r="D750" s="1">
        <v>9.9</v>
      </c>
      <c r="E750" s="1">
        <v>66.5</v>
      </c>
      <c r="F750" t="s">
        <v>127</v>
      </c>
    </row>
    <row r="751" spans="1:6" x14ac:dyDescent="0.3">
      <c r="A751">
        <v>123</v>
      </c>
      <c r="B751" t="s">
        <v>127</v>
      </c>
      <c r="C751">
        <v>1170</v>
      </c>
      <c r="D751" s="1">
        <v>12</v>
      </c>
      <c r="E751" s="1">
        <v>66.5</v>
      </c>
      <c r="F751" t="s">
        <v>127</v>
      </c>
    </row>
    <row r="752" spans="1:6" x14ac:dyDescent="0.3">
      <c r="A752">
        <v>123</v>
      </c>
      <c r="B752" t="s">
        <v>127</v>
      </c>
      <c r="C752">
        <v>1308</v>
      </c>
      <c r="D752" s="1">
        <v>20</v>
      </c>
      <c r="E752" s="1">
        <v>66.5</v>
      </c>
      <c r="F752" t="s">
        <v>127</v>
      </c>
    </row>
    <row r="753" spans="1:6" x14ac:dyDescent="0.3">
      <c r="A753">
        <v>124</v>
      </c>
      <c r="B753" t="s">
        <v>128</v>
      </c>
      <c r="C753">
        <v>809</v>
      </c>
      <c r="D753" s="1">
        <v>10.4</v>
      </c>
      <c r="E753" s="1">
        <v>43.5</v>
      </c>
      <c r="F753" t="s">
        <v>128</v>
      </c>
    </row>
    <row r="754" spans="1:6" x14ac:dyDescent="0.3">
      <c r="A754">
        <v>124</v>
      </c>
      <c r="B754" t="s">
        <v>128</v>
      </c>
      <c r="C754">
        <v>1172</v>
      </c>
      <c r="D754" s="1">
        <v>22.5</v>
      </c>
      <c r="E754" s="1">
        <v>43.5</v>
      </c>
      <c r="F754" t="s">
        <v>128</v>
      </c>
    </row>
    <row r="755" spans="1:6" x14ac:dyDescent="0.3">
      <c r="A755">
        <v>124</v>
      </c>
      <c r="B755" t="s">
        <v>128</v>
      </c>
      <c r="C755">
        <v>1376</v>
      </c>
      <c r="D755" s="1">
        <v>5.3</v>
      </c>
      <c r="E755" s="1">
        <v>43.5</v>
      </c>
      <c r="F755" t="s">
        <v>128</v>
      </c>
    </row>
    <row r="756" spans="1:6" x14ac:dyDescent="0.3">
      <c r="A756">
        <v>124</v>
      </c>
      <c r="B756" t="s">
        <v>128</v>
      </c>
      <c r="C756">
        <v>1409</v>
      </c>
      <c r="D756" s="1">
        <v>5.3</v>
      </c>
      <c r="E756" s="1">
        <v>43.5</v>
      </c>
      <c r="F756" t="s">
        <v>128</v>
      </c>
    </row>
    <row r="757" spans="1:6" x14ac:dyDescent="0.3">
      <c r="A757">
        <v>125</v>
      </c>
      <c r="B757" t="s">
        <v>129</v>
      </c>
      <c r="C757">
        <v>941</v>
      </c>
      <c r="D757" s="1">
        <v>7.7</v>
      </c>
      <c r="E757" s="1">
        <v>7.7</v>
      </c>
      <c r="F757" t="s">
        <v>129</v>
      </c>
    </row>
    <row r="758" spans="1:6" x14ac:dyDescent="0.3">
      <c r="A758">
        <v>126</v>
      </c>
      <c r="B758" t="s">
        <v>130</v>
      </c>
      <c r="C758">
        <v>831</v>
      </c>
      <c r="D758" s="1">
        <v>5.3</v>
      </c>
      <c r="E758" s="1">
        <v>5.3</v>
      </c>
      <c r="F758" t="s">
        <v>130</v>
      </c>
    </row>
    <row r="759" spans="1:6" x14ac:dyDescent="0.3">
      <c r="A759">
        <v>127</v>
      </c>
      <c r="B759" t="s">
        <v>131</v>
      </c>
      <c r="C759">
        <v>834</v>
      </c>
      <c r="D759" s="1">
        <v>5.3</v>
      </c>
      <c r="E759" s="1">
        <v>76</v>
      </c>
      <c r="F759" t="s">
        <v>131</v>
      </c>
    </row>
    <row r="760" spans="1:6" x14ac:dyDescent="0.3">
      <c r="A760">
        <v>127</v>
      </c>
      <c r="B760" t="s">
        <v>131</v>
      </c>
      <c r="C760">
        <v>931</v>
      </c>
      <c r="D760" s="1">
        <v>14.9</v>
      </c>
      <c r="E760" s="1">
        <v>76</v>
      </c>
      <c r="F760" t="s">
        <v>131</v>
      </c>
    </row>
    <row r="761" spans="1:6" x14ac:dyDescent="0.3">
      <c r="A761">
        <v>127</v>
      </c>
      <c r="B761" t="s">
        <v>131</v>
      </c>
      <c r="C761">
        <v>1013</v>
      </c>
      <c r="D761" s="1">
        <v>8.1999999999999993</v>
      </c>
      <c r="E761" s="1">
        <v>76</v>
      </c>
      <c r="F761" t="s">
        <v>131</v>
      </c>
    </row>
    <row r="762" spans="1:6" x14ac:dyDescent="0.3">
      <c r="A762">
        <v>127</v>
      </c>
      <c r="B762" t="s">
        <v>131</v>
      </c>
      <c r="C762">
        <v>1050</v>
      </c>
      <c r="D762" s="1">
        <v>12.6</v>
      </c>
      <c r="E762" s="1">
        <v>76</v>
      </c>
      <c r="F762" t="s">
        <v>131</v>
      </c>
    </row>
    <row r="763" spans="1:6" x14ac:dyDescent="0.3">
      <c r="A763">
        <v>127</v>
      </c>
      <c r="B763" t="s">
        <v>131</v>
      </c>
      <c r="C763">
        <v>1234</v>
      </c>
      <c r="D763" s="1">
        <v>19.8</v>
      </c>
      <c r="E763" s="1">
        <v>76</v>
      </c>
      <c r="F763" t="s">
        <v>131</v>
      </c>
    </row>
    <row r="764" spans="1:6" x14ac:dyDescent="0.3">
      <c r="A764">
        <v>127</v>
      </c>
      <c r="B764" t="s">
        <v>131</v>
      </c>
      <c r="C764">
        <v>1316</v>
      </c>
      <c r="D764" s="1">
        <v>7.5</v>
      </c>
      <c r="E764" s="1">
        <v>76</v>
      </c>
      <c r="F764" t="s">
        <v>131</v>
      </c>
    </row>
    <row r="765" spans="1:6" x14ac:dyDescent="0.3">
      <c r="A765">
        <v>127</v>
      </c>
      <c r="B765" t="s">
        <v>131</v>
      </c>
      <c r="C765">
        <v>1338</v>
      </c>
      <c r="D765" s="1">
        <v>7.7</v>
      </c>
      <c r="E765" s="1">
        <v>76</v>
      </c>
      <c r="F765" t="s">
        <v>131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6F29D-EFE5-40A2-B292-AAF273654362}">
  <dimension ref="A6:C36"/>
  <sheetViews>
    <sheetView tabSelected="1" zoomScale="66" zoomScaleNormal="100" workbookViewId="0">
      <selection activeCell="G13" sqref="G13"/>
    </sheetView>
  </sheetViews>
  <sheetFormatPr baseColWidth="10" defaultRowHeight="14.4" x14ac:dyDescent="0.3"/>
  <cols>
    <col min="1" max="1" width="17.109375" bestFit="1" customWidth="1"/>
    <col min="2" max="2" width="9.44140625" bestFit="1" customWidth="1"/>
    <col min="3" max="3" width="13.5546875" bestFit="1" customWidth="1"/>
    <col min="4" max="4" width="14.109375" bestFit="1" customWidth="1"/>
    <col min="5" max="5" width="9.21875" bestFit="1" customWidth="1"/>
    <col min="6" max="6" width="12.109375" bestFit="1" customWidth="1"/>
  </cols>
  <sheetData>
    <row r="6" spans="1:3" x14ac:dyDescent="0.3">
      <c r="B6" s="34" t="s">
        <v>192</v>
      </c>
      <c r="C6" s="34" t="s">
        <v>191</v>
      </c>
    </row>
    <row r="7" spans="1:3" x14ac:dyDescent="0.3">
      <c r="A7" s="32" t="s">
        <v>190</v>
      </c>
      <c r="B7" s="6">
        <v>68.277419354838699</v>
      </c>
      <c r="C7" s="6">
        <v>11.081675392670199</v>
      </c>
    </row>
    <row r="8" spans="1:3" x14ac:dyDescent="0.3">
      <c r="A8" s="32" t="s">
        <v>189</v>
      </c>
      <c r="B8" s="7">
        <v>55.4</v>
      </c>
      <c r="C8" s="33">
        <v>9.6</v>
      </c>
    </row>
    <row r="9" spans="1:3" x14ac:dyDescent="0.3">
      <c r="A9" s="32" t="s">
        <v>178</v>
      </c>
      <c r="B9" s="8">
        <v>290.60000000000002</v>
      </c>
      <c r="C9" s="8">
        <v>69.2</v>
      </c>
    </row>
    <row r="10" spans="1:3" x14ac:dyDescent="0.3">
      <c r="A10" s="32" t="s">
        <v>176</v>
      </c>
      <c r="B10" s="31" t="s">
        <v>21</v>
      </c>
      <c r="C10" s="31" t="s">
        <v>22</v>
      </c>
    </row>
    <row r="11" spans="1:3" x14ac:dyDescent="0.3">
      <c r="A11" s="32" t="s">
        <v>177</v>
      </c>
      <c r="B11" s="7">
        <v>4.9000000000000004</v>
      </c>
      <c r="C11" s="7">
        <v>3</v>
      </c>
    </row>
    <row r="12" spans="1:3" x14ac:dyDescent="0.3">
      <c r="A12" s="32" t="s">
        <v>176</v>
      </c>
      <c r="B12" s="27" t="s">
        <v>105</v>
      </c>
      <c r="C12" s="27" t="s">
        <v>29</v>
      </c>
    </row>
    <row r="31" spans="1:3" x14ac:dyDescent="0.3">
      <c r="A31" s="27" t="s">
        <v>188</v>
      </c>
      <c r="B31" s="27" t="s">
        <v>187</v>
      </c>
      <c r="C31" s="27" t="s">
        <v>186</v>
      </c>
    </row>
    <row r="32" spans="1:3" x14ac:dyDescent="0.3">
      <c r="A32" s="29" t="s">
        <v>151</v>
      </c>
      <c r="B32" s="29">
        <v>65</v>
      </c>
      <c r="C32" s="28">
        <v>0.52419354838709675</v>
      </c>
    </row>
    <row r="33" spans="1:3" x14ac:dyDescent="0.3">
      <c r="A33" s="31" t="s">
        <v>150</v>
      </c>
      <c r="B33" s="31">
        <v>43</v>
      </c>
      <c r="C33" s="30">
        <v>0.34677419354838712</v>
      </c>
    </row>
    <row r="34" spans="1:3" x14ac:dyDescent="0.3">
      <c r="A34" s="31" t="s">
        <v>149</v>
      </c>
      <c r="B34" s="31">
        <v>13</v>
      </c>
      <c r="C34" s="30">
        <v>0.10483870967741936</v>
      </c>
    </row>
    <row r="35" spans="1:3" x14ac:dyDescent="0.3">
      <c r="A35" s="29" t="s">
        <v>148</v>
      </c>
      <c r="B35" s="29">
        <v>3</v>
      </c>
      <c r="C35" s="28">
        <v>2.4193548387096774E-2</v>
      </c>
    </row>
    <row r="36" spans="1:3" x14ac:dyDescent="0.3">
      <c r="A36" s="27" t="s">
        <v>143</v>
      </c>
      <c r="B36" s="27">
        <v>124</v>
      </c>
      <c r="C36" s="26">
        <v>1</v>
      </c>
    </row>
  </sheetData>
  <pageMargins left="0.7" right="0.7" top="0.75" bottom="0.75" header="0.3" footer="0.3"/>
  <pageSetup paperSize="9"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3</vt:i4>
      </vt:variant>
    </vt:vector>
  </HeadingPairs>
  <TitlesOfParts>
    <vt:vector size="9" baseType="lpstr">
      <vt:lpstr>FR1_Data</vt:lpstr>
      <vt:lpstr>FR1</vt:lpstr>
      <vt:lpstr>FR2_Data</vt:lpstr>
      <vt:lpstr>FR2</vt:lpstr>
      <vt:lpstr>FR3_Data</vt:lpstr>
      <vt:lpstr>FR3</vt:lpstr>
      <vt:lpstr>'FR1'!Zone_d_impression</vt:lpstr>
      <vt:lpstr>'FR2'!Zone_d_impression</vt:lpstr>
      <vt:lpstr>'FR3'!Zone_d_impression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ALIX CARTAL</dc:creator>
  <cp:lastModifiedBy>JONATHAN WILD</cp:lastModifiedBy>
  <cp:lastPrinted>2024-11-08T15:54:32Z</cp:lastPrinted>
  <dcterms:created xsi:type="dcterms:W3CDTF">2024-11-06T09:10:54Z</dcterms:created>
  <dcterms:modified xsi:type="dcterms:W3CDTF">2024-11-08T15:55:07Z</dcterms:modified>
</cp:coreProperties>
</file>